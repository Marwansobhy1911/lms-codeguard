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Youse\Downloads\"/>
    </mc:Choice>
  </mc:AlternateContent>
  <xr:revisionPtr revIDLastSave="0" documentId="13_ncr:1_{DBF619EE-DBC0-47D3-96CD-4FEFA7C64BB0}" xr6:coauthVersionLast="47" xr6:coauthVersionMax="47" xr10:uidLastSave="{00000000-0000-0000-0000-000000000000}"/>
  <bookViews>
    <workbookView xWindow="-104" yWindow="-104" windowWidth="22326" windowHeight="11947" activeTab="2" xr2:uid="{00000000-000D-0000-FFFF-FFFF00000000}"/>
  </bookViews>
  <sheets>
    <sheet name="Instructions" sheetId="1" r:id="rId1"/>
    <sheet name="Source_Grades" sheetId="2" r:id="rId2"/>
    <sheet name="Project_Scores" sheetId="3" r:id="rId3"/>
    <sheet name="Project_Teams" sheetId="4" r:id="rId4"/>
    <sheet name="Team_Summary" sheetId="5" r:id="rId5"/>
  </sheets>
  <definedNames>
    <definedName name="_xlnm._FilterDatabase" localSheetId="3" hidden="1">Project_Teams!$A$1:$V$164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2" l="1" a="1"/>
  <c r="T3" i="2" s="1"/>
  <c r="T4" i="2" a="1"/>
  <c r="T4" i="2" s="1"/>
  <c r="T5" i="2" a="1"/>
  <c r="T5" i="2" s="1"/>
  <c r="Z5" i="2" s="1"/>
  <c r="T6" i="2" a="1"/>
  <c r="T6" i="2" s="1"/>
  <c r="AA6" i="2" s="1"/>
  <c r="T7" i="2" a="1"/>
  <c r="T7" i="2" s="1"/>
  <c r="Y7" i="2" s="1"/>
  <c r="P6" i="4" s="1"/>
  <c r="T8" i="2" a="1"/>
  <c r="T8" i="2" s="1"/>
  <c r="T9" i="2" a="1"/>
  <c r="T9" i="2" s="1"/>
  <c r="T10" i="2" a="1"/>
  <c r="T10" i="2" s="1"/>
  <c r="Z10" i="2" s="1"/>
  <c r="T11" i="2" a="1"/>
  <c r="T11" i="2" s="1"/>
  <c r="Z11" i="2" s="1"/>
  <c r="T12" i="2" a="1"/>
  <c r="T12" i="2" s="1"/>
  <c r="T13" i="2" a="1"/>
  <c r="T13" i="2" s="1"/>
  <c r="Z13" i="2" s="1"/>
  <c r="T14" i="2" a="1"/>
  <c r="T14" i="2" s="1"/>
  <c r="Y14" i="2" s="1"/>
  <c r="P23" i="4" s="1"/>
  <c r="T15" i="2" a="1"/>
  <c r="T15" i="2" s="1"/>
  <c r="T16" i="2" a="1"/>
  <c r="T16" i="2" s="1"/>
  <c r="U16" i="2" s="1"/>
  <c r="T17" i="2" a="1"/>
  <c r="T17" i="2" s="1"/>
  <c r="V17" i="2" s="1"/>
  <c r="O62" i="4" s="1"/>
  <c r="R62" i="4" s="1"/>
  <c r="U62" i="4" s="1"/>
  <c r="T18" i="2" a="1"/>
  <c r="T18" i="2" s="1"/>
  <c r="AA18" i="2" s="1"/>
  <c r="T19" i="2" a="1"/>
  <c r="T19" i="2" s="1"/>
  <c r="T20" i="2" a="1"/>
  <c r="T20" i="2" s="1"/>
  <c r="T21" i="2" a="1"/>
  <c r="T21" i="2" s="1"/>
  <c r="Z21" i="2" s="1"/>
  <c r="T22" i="2" a="1"/>
  <c r="T22" i="2" s="1"/>
  <c r="T23" i="2" a="1"/>
  <c r="T23" i="2" s="1"/>
  <c r="V23" i="2" s="1"/>
  <c r="O41" i="4" s="1"/>
  <c r="R41" i="4" s="1"/>
  <c r="U41" i="4" s="1"/>
  <c r="T24" i="2" a="1"/>
  <c r="T24" i="2" s="1"/>
  <c r="Z24" i="2" s="1"/>
  <c r="T25" i="2" a="1"/>
  <c r="T25" i="2" s="1"/>
  <c r="AA25" i="2" s="1"/>
  <c r="T26" i="2" a="1"/>
  <c r="T26" i="2" s="1"/>
  <c r="Z26" i="2" s="1"/>
  <c r="T27" i="2" a="1"/>
  <c r="T27" i="2" s="1"/>
  <c r="Z27" i="2" s="1"/>
  <c r="T28" i="2" a="1"/>
  <c r="T28" i="2" s="1"/>
  <c r="U28" i="2" s="1"/>
  <c r="T29" i="2" a="1"/>
  <c r="T29" i="2" s="1"/>
  <c r="V29" i="2" s="1"/>
  <c r="O18" i="4" s="1"/>
  <c r="R18" i="4" s="1"/>
  <c r="U18" i="4" s="1"/>
  <c r="T30" i="2" a="1"/>
  <c r="T30" i="2" s="1"/>
  <c r="T31" i="2" a="1"/>
  <c r="T31" i="2" s="1"/>
  <c r="V31" i="2" s="1"/>
  <c r="O20" i="4" s="1"/>
  <c r="R20" i="4" s="1"/>
  <c r="U20" i="4" s="1"/>
  <c r="T32" i="2" a="1"/>
  <c r="T32" i="2" s="1"/>
  <c r="Z32" i="2" s="1"/>
  <c r="T33" i="2" a="1"/>
  <c r="T33" i="2" s="1"/>
  <c r="Y33" i="2" s="1"/>
  <c r="P131" i="4" s="1"/>
  <c r="T34" i="2" a="1"/>
  <c r="T34" i="2" s="1"/>
  <c r="Y34" i="2" s="1"/>
  <c r="P147" i="4" s="1"/>
  <c r="T35" i="2" a="1"/>
  <c r="T35" i="2" s="1"/>
  <c r="T36" i="2" a="1"/>
  <c r="T36" i="2" s="1"/>
  <c r="T37" i="2" a="1"/>
  <c r="T37" i="2" s="1"/>
  <c r="Z37" i="2" s="1"/>
  <c r="T38" i="2" a="1"/>
  <c r="T38" i="2" s="1"/>
  <c r="T39" i="2" a="1"/>
  <c r="T39" i="2" s="1"/>
  <c r="Z39" i="2" s="1"/>
  <c r="T40" i="2" a="1"/>
  <c r="T40" i="2" s="1"/>
  <c r="Y40" i="2" s="1"/>
  <c r="P40" i="4" s="1"/>
  <c r="T41" i="2" a="1"/>
  <c r="T41" i="2" s="1"/>
  <c r="Z41" i="2" s="1"/>
  <c r="T42" i="2" a="1"/>
  <c r="T42" i="2" s="1"/>
  <c r="V42" i="2" s="1"/>
  <c r="O54" i="4" s="1"/>
  <c r="R54" i="4" s="1"/>
  <c r="U54" i="4" s="1"/>
  <c r="T43" i="2" a="1"/>
  <c r="T43" i="2" s="1"/>
  <c r="T44" i="2" a="1"/>
  <c r="T44" i="2" s="1"/>
  <c r="Z44" i="2" s="1"/>
  <c r="T45" i="2" a="1"/>
  <c r="T45" i="2" s="1"/>
  <c r="Y45" i="2" s="1"/>
  <c r="P13" i="4" s="1"/>
  <c r="T46" i="2" a="1"/>
  <c r="T46" i="2" s="1"/>
  <c r="AA46" i="2" s="1"/>
  <c r="T47" i="2" a="1"/>
  <c r="T47" i="2" s="1"/>
  <c r="T48" i="2" a="1"/>
  <c r="T48" i="2" s="1"/>
  <c r="Z48" i="2" s="1"/>
  <c r="T49" i="2" a="1"/>
  <c r="T49" i="2" s="1"/>
  <c r="Z49" i="2" s="1"/>
  <c r="T50" i="2" a="1"/>
  <c r="T50" i="2" s="1"/>
  <c r="T51" i="2" a="1"/>
  <c r="T51" i="2" s="1"/>
  <c r="T52" i="2" a="1"/>
  <c r="T52" i="2" s="1"/>
  <c r="T53" i="2" a="1"/>
  <c r="T53" i="2" s="1"/>
  <c r="T54" i="2" a="1"/>
  <c r="T54" i="2" s="1"/>
  <c r="T55" i="2" a="1"/>
  <c r="T55" i="2" s="1"/>
  <c r="Z55" i="2" s="1"/>
  <c r="T56" i="2" a="1"/>
  <c r="T56" i="2" s="1"/>
  <c r="U56" i="2" s="1"/>
  <c r="T57" i="2" a="1"/>
  <c r="T57" i="2" s="1"/>
  <c r="T58" i="2" a="1"/>
  <c r="T58" i="2" s="1"/>
  <c r="V58" i="2" s="1"/>
  <c r="O5" i="4" s="1"/>
  <c r="R5" i="4" s="1"/>
  <c r="U5" i="4" s="1"/>
  <c r="T59" i="2" a="1"/>
  <c r="T59" i="2" s="1"/>
  <c r="Z59" i="2" s="1"/>
  <c r="T60" i="2" a="1"/>
  <c r="T60" i="2" s="1"/>
  <c r="Z60" i="2" s="1"/>
  <c r="T61" i="2" a="1"/>
  <c r="T61" i="2" s="1"/>
  <c r="Z61" i="2" s="1"/>
  <c r="T62" i="2" a="1"/>
  <c r="T62" i="2" s="1"/>
  <c r="T63" i="2" a="1"/>
  <c r="T63" i="2" s="1"/>
  <c r="Z63" i="2" s="1"/>
  <c r="T64" i="2" a="1"/>
  <c r="T64" i="2" s="1"/>
  <c r="U64" i="2" s="1"/>
  <c r="T65" i="2" a="1"/>
  <c r="T65" i="2" s="1"/>
  <c r="V65" i="2" s="1"/>
  <c r="O26" i="4" s="1"/>
  <c r="R26" i="4" s="1"/>
  <c r="U26" i="4" s="1"/>
  <c r="T66" i="2" a="1"/>
  <c r="T66" i="2" s="1"/>
  <c r="T67" i="2" a="1"/>
  <c r="T67" i="2" s="1"/>
  <c r="T68" i="2" a="1"/>
  <c r="T68" i="2" s="1"/>
  <c r="T69" i="2" a="1"/>
  <c r="T69" i="2" s="1"/>
  <c r="AA69" i="2" s="1"/>
  <c r="T70" i="2" a="1"/>
  <c r="T70" i="2" s="1"/>
  <c r="T71" i="2" a="1"/>
  <c r="T71" i="2" s="1"/>
  <c r="Z71" i="2" s="1"/>
  <c r="T72" i="2" a="1"/>
  <c r="T72" i="2" s="1"/>
  <c r="Z72" i="2" s="1"/>
  <c r="T73" i="2" a="1"/>
  <c r="T73" i="2" s="1"/>
  <c r="T74" i="2" a="1"/>
  <c r="T74" i="2" s="1"/>
  <c r="V74" i="2" s="1"/>
  <c r="O159" i="4" s="1"/>
  <c r="R159" i="4" s="1"/>
  <c r="U159" i="4" s="1"/>
  <c r="T75" i="2" a="1"/>
  <c r="T75" i="2" s="1"/>
  <c r="T76" i="2" a="1"/>
  <c r="T76" i="2" s="1"/>
  <c r="T77" i="2" a="1"/>
  <c r="T77" i="2" s="1"/>
  <c r="AA77" i="2" s="1"/>
  <c r="T78" i="2" a="1"/>
  <c r="T78" i="2" s="1"/>
  <c r="V78" i="2" s="1"/>
  <c r="O24" i="4" s="1"/>
  <c r="R24" i="4" s="1"/>
  <c r="U24" i="4" s="1"/>
  <c r="T79" i="2" a="1"/>
  <c r="T79" i="2" s="1"/>
  <c r="AA79" i="2" s="1"/>
  <c r="T80" i="2" a="1"/>
  <c r="T80" i="2" s="1"/>
  <c r="Y80" i="2" s="1"/>
  <c r="P105" i="4" s="1"/>
  <c r="T81" i="2" a="1"/>
  <c r="T81" i="2" s="1"/>
  <c r="V81" i="2" s="1"/>
  <c r="O146" i="4" s="1"/>
  <c r="R146" i="4" s="1"/>
  <c r="U146" i="4" s="1"/>
  <c r="T82" i="2" a="1"/>
  <c r="T82" i="2" s="1"/>
  <c r="Z82" i="2" s="1"/>
  <c r="T83" i="2" a="1"/>
  <c r="T83" i="2" s="1"/>
  <c r="T84" i="2" a="1"/>
  <c r="T84" i="2" s="1"/>
  <c r="T85" i="2" a="1"/>
  <c r="T85" i="2" s="1"/>
  <c r="V85" i="2" s="1"/>
  <c r="O140" i="4" s="1"/>
  <c r="R140" i="4" s="1"/>
  <c r="U140" i="4" s="1"/>
  <c r="T86" i="2" a="1"/>
  <c r="T86" i="2" s="1"/>
  <c r="V86" i="2" s="1"/>
  <c r="O110" i="4" s="1"/>
  <c r="R110" i="4" s="1"/>
  <c r="U110" i="4" s="1"/>
  <c r="T87" i="2" a="1"/>
  <c r="T87" i="2" s="1"/>
  <c r="Z87" i="2" s="1"/>
  <c r="T88" i="2" a="1"/>
  <c r="T88" i="2" s="1"/>
  <c r="Y88" i="2" s="1"/>
  <c r="P121" i="4" s="1"/>
  <c r="T89" i="2" a="1"/>
  <c r="T89" i="2" s="1"/>
  <c r="U89" i="2" s="1"/>
  <c r="T90" i="2" a="1"/>
  <c r="T90" i="2" s="1"/>
  <c r="Y90" i="2" s="1"/>
  <c r="P145" i="4" s="1"/>
  <c r="T91" i="2" a="1"/>
  <c r="T91" i="2" s="1"/>
  <c r="Z91" i="2" s="1"/>
  <c r="T92" i="2" a="1"/>
  <c r="T92" i="2" s="1"/>
  <c r="U92" i="2" s="1"/>
  <c r="T93" i="2" a="1"/>
  <c r="T93" i="2" s="1"/>
  <c r="V93" i="2" s="1"/>
  <c r="O124" i="4" s="1"/>
  <c r="R124" i="4" s="1"/>
  <c r="U124" i="4" s="1"/>
  <c r="T94" i="2" a="1"/>
  <c r="T94" i="2" s="1"/>
  <c r="T95" i="2" a="1"/>
  <c r="T95" i="2" s="1"/>
  <c r="T96" i="2" a="1"/>
  <c r="T96" i="2" s="1"/>
  <c r="V96" i="2" s="1"/>
  <c r="O52" i="4" s="1"/>
  <c r="R52" i="4" s="1"/>
  <c r="U52" i="4" s="1"/>
  <c r="T97" i="2" a="1"/>
  <c r="T97" i="2" s="1"/>
  <c r="U97" i="2" s="1"/>
  <c r="T98" i="2" a="1"/>
  <c r="T98" i="2" s="1"/>
  <c r="T99" i="2" a="1"/>
  <c r="T99" i="2" s="1"/>
  <c r="T100" i="2" a="1"/>
  <c r="T100" i="2" s="1"/>
  <c r="T101" i="2" a="1"/>
  <c r="T101" i="2" s="1"/>
  <c r="T102" i="2" a="1"/>
  <c r="T102" i="2" s="1"/>
  <c r="T103" i="2" a="1"/>
  <c r="T103" i="2" s="1"/>
  <c r="AA103" i="2" s="1"/>
  <c r="T104" i="2" a="1"/>
  <c r="T104" i="2" s="1"/>
  <c r="T105" i="2" a="1"/>
  <c r="T105" i="2" s="1"/>
  <c r="Y105" i="2" s="1"/>
  <c r="P25" i="4" s="1"/>
  <c r="T106" i="2" a="1"/>
  <c r="T106" i="2" s="1"/>
  <c r="Y106" i="2" s="1"/>
  <c r="P58" i="4" s="1"/>
  <c r="T107" i="2" a="1"/>
  <c r="T107" i="2" s="1"/>
  <c r="Y107" i="2" s="1"/>
  <c r="P75" i="4" s="1"/>
  <c r="T108" i="2" a="1"/>
  <c r="T108" i="2" s="1"/>
  <c r="Z108" i="2" s="1"/>
  <c r="T109" i="2" a="1"/>
  <c r="T109" i="2" s="1"/>
  <c r="Z109" i="2" s="1"/>
  <c r="T110" i="2" a="1"/>
  <c r="T110" i="2" s="1"/>
  <c r="T111" i="2" a="1"/>
  <c r="T111" i="2" s="1"/>
  <c r="AA111" i="2" s="1"/>
  <c r="T112" i="2" a="1"/>
  <c r="T112" i="2" s="1"/>
  <c r="U112" i="2" s="1"/>
  <c r="T113" i="2" a="1"/>
  <c r="T113" i="2" s="1"/>
  <c r="T114" i="2" a="1"/>
  <c r="T114" i="2" s="1"/>
  <c r="U114" i="2" s="1"/>
  <c r="T115" i="2" a="1"/>
  <c r="T115" i="2" s="1"/>
  <c r="AA115" i="2" s="1"/>
  <c r="T116" i="2" a="1"/>
  <c r="T116" i="2" s="1"/>
  <c r="T117" i="2" a="1"/>
  <c r="T117" i="2" s="1"/>
  <c r="U117" i="2" s="1"/>
  <c r="T118" i="2" a="1"/>
  <c r="T118" i="2" s="1"/>
  <c r="AA118" i="2" s="1"/>
  <c r="T119" i="2" a="1"/>
  <c r="T119" i="2" s="1"/>
  <c r="Z119" i="2" s="1"/>
  <c r="T120" i="2" a="1"/>
  <c r="T120" i="2" s="1"/>
  <c r="Z120" i="2" s="1"/>
  <c r="T121" i="2" a="1"/>
  <c r="T121" i="2" s="1"/>
  <c r="T122" i="2" a="1"/>
  <c r="T122" i="2" s="1"/>
  <c r="Z122" i="2" s="1"/>
  <c r="T123" i="2" a="1"/>
  <c r="T123" i="2" s="1"/>
  <c r="V123" i="2" s="1"/>
  <c r="O108" i="4" s="1"/>
  <c r="R108" i="4" s="1"/>
  <c r="U108" i="4" s="1"/>
  <c r="T124" i="2" a="1"/>
  <c r="T124" i="2" s="1"/>
  <c r="Y124" i="2" s="1"/>
  <c r="P157" i="4" s="1"/>
  <c r="T125" i="2" a="1"/>
  <c r="T125" i="2" s="1"/>
  <c r="AA125" i="2" s="1"/>
  <c r="T126" i="2" a="1"/>
  <c r="T126" i="2" s="1"/>
  <c r="AA126" i="2" s="1"/>
  <c r="T127" i="2" a="1"/>
  <c r="T127" i="2" s="1"/>
  <c r="AA127" i="2" s="1"/>
  <c r="T128" i="2" a="1"/>
  <c r="T128" i="2" s="1"/>
  <c r="T129" i="2" a="1"/>
  <c r="T129" i="2" s="1"/>
  <c r="Y129" i="2" s="1"/>
  <c r="P77" i="4" s="1"/>
  <c r="T130" i="2" a="1"/>
  <c r="T130" i="2" s="1"/>
  <c r="AA130" i="2" s="1"/>
  <c r="T131" i="2" a="1"/>
  <c r="T131" i="2" s="1"/>
  <c r="AA131" i="2" s="1"/>
  <c r="T132" i="2" a="1"/>
  <c r="T132" i="2" s="1"/>
  <c r="T133" i="2" a="1"/>
  <c r="T133" i="2" s="1"/>
  <c r="T134" i="2" a="1"/>
  <c r="T134" i="2" s="1"/>
  <c r="Z134" i="2" s="1"/>
  <c r="T135" i="2" a="1"/>
  <c r="T135" i="2" s="1"/>
  <c r="AA135" i="2" s="1"/>
  <c r="T136" i="2" a="1"/>
  <c r="T136" i="2" s="1"/>
  <c r="T137" i="2" a="1"/>
  <c r="T137" i="2" s="1"/>
  <c r="Y137" i="2" s="1"/>
  <c r="P66" i="4" s="1"/>
  <c r="T138" i="2" a="1"/>
  <c r="T138" i="2" s="1"/>
  <c r="Z138" i="2" s="1"/>
  <c r="T139" i="2" a="1"/>
  <c r="T139" i="2" s="1"/>
  <c r="Y139" i="2" s="1"/>
  <c r="P21" i="4" s="1"/>
  <c r="T140" i="2" a="1"/>
  <c r="T140" i="2" s="1"/>
  <c r="U140" i="2" s="1"/>
  <c r="T141" i="2" a="1"/>
  <c r="T141" i="2" s="1"/>
  <c r="Z141" i="2" s="1"/>
  <c r="T142" i="2" a="1"/>
  <c r="T142" i="2" s="1"/>
  <c r="U142" i="2" s="1"/>
  <c r="T143" i="2" a="1"/>
  <c r="T143" i="2" s="1"/>
  <c r="AA143" i="2" s="1"/>
  <c r="T144" i="2" a="1"/>
  <c r="T144" i="2" s="1"/>
  <c r="T145" i="2" a="1"/>
  <c r="T145" i="2" s="1"/>
  <c r="T146" i="2" a="1"/>
  <c r="T146" i="2" s="1"/>
  <c r="V146" i="2" s="1"/>
  <c r="O139" i="4" s="1"/>
  <c r="R139" i="4" s="1"/>
  <c r="U139" i="4" s="1"/>
  <c r="T147" i="2" a="1"/>
  <c r="T147" i="2" s="1"/>
  <c r="T148" i="2" a="1"/>
  <c r="T148" i="2" s="1"/>
  <c r="T149" i="2" a="1"/>
  <c r="T149" i="2" s="1"/>
  <c r="V149" i="2" s="1"/>
  <c r="O42" i="4" s="1"/>
  <c r="R42" i="4" s="1"/>
  <c r="U42" i="4" s="1"/>
  <c r="T150" i="2" a="1"/>
  <c r="T150" i="2" s="1"/>
  <c r="AA150" i="2" s="1"/>
  <c r="T151" i="2" a="1"/>
  <c r="T151" i="2" s="1"/>
  <c r="Z151" i="2" s="1"/>
  <c r="T152" i="2" a="1"/>
  <c r="T152" i="2" s="1"/>
  <c r="U152" i="2" s="1"/>
  <c r="T153" i="2" a="1"/>
  <c r="T153" i="2" s="1"/>
  <c r="Y153" i="2" s="1"/>
  <c r="P3" i="4" s="1"/>
  <c r="T154" i="2" a="1"/>
  <c r="T154" i="2" s="1"/>
  <c r="Z154" i="2" s="1"/>
  <c r="T155" i="2" a="1"/>
  <c r="T155" i="2" s="1"/>
  <c r="V155" i="2" s="1"/>
  <c r="O163" i="4" s="1"/>
  <c r="R163" i="4" s="1"/>
  <c r="U163" i="4" s="1"/>
  <c r="T156" i="2" a="1"/>
  <c r="T156" i="2" s="1"/>
  <c r="Z156" i="2" s="1"/>
  <c r="T157" i="2" a="1"/>
  <c r="T157" i="2" s="1"/>
  <c r="V157" i="2" s="1"/>
  <c r="O91" i="4" s="1"/>
  <c r="R91" i="4" s="1"/>
  <c r="U91" i="4" s="1"/>
  <c r="T158" i="2" a="1"/>
  <c r="T158" i="2" s="1"/>
  <c r="AA158" i="2" s="1"/>
  <c r="T159" i="2" a="1"/>
  <c r="T159" i="2" s="1"/>
  <c r="AA159" i="2" s="1"/>
  <c r="T160" i="2" a="1"/>
  <c r="T160" i="2" s="1"/>
  <c r="U160" i="2" s="1"/>
  <c r="T161" i="2" a="1"/>
  <c r="T161" i="2" s="1"/>
  <c r="AA161" i="2" s="1"/>
  <c r="T162" i="2" a="1"/>
  <c r="T162" i="2" s="1"/>
  <c r="AA162" i="2" s="1"/>
  <c r="T163" i="2" a="1"/>
  <c r="T163" i="2" s="1"/>
  <c r="V163" i="2" s="1"/>
  <c r="O143" i="4" s="1"/>
  <c r="R143" i="4" s="1"/>
  <c r="U143" i="4" s="1"/>
  <c r="T164" i="2" a="1"/>
  <c r="T164" i="2" s="1"/>
  <c r="T165" i="2" a="1"/>
  <c r="T165" i="2" s="1"/>
  <c r="V165" i="2" s="1"/>
  <c r="O7" i="4" s="1"/>
  <c r="R7" i="4" s="1"/>
  <c r="U7" i="4" s="1"/>
  <c r="T166" i="2" a="1"/>
  <c r="T166" i="2" s="1"/>
  <c r="Y166" i="2" s="1"/>
  <c r="P162" i="4" s="1"/>
  <c r="T167" i="2" a="1"/>
  <c r="T167" i="2" s="1"/>
  <c r="Y167" i="2" s="1"/>
  <c r="T168" i="2" a="1"/>
  <c r="T168" i="2" s="1"/>
  <c r="Z168" i="2" s="1"/>
  <c r="T169" i="2" a="1"/>
  <c r="T169" i="2" s="1"/>
  <c r="V169" i="2" s="1"/>
  <c r="T170" i="2" a="1"/>
  <c r="T170" i="2" s="1"/>
  <c r="Y170" i="2" s="1"/>
  <c r="P149" i="4" s="1"/>
  <c r="T171" i="2" a="1"/>
  <c r="T171" i="2" s="1"/>
  <c r="U171" i="2" s="1"/>
  <c r="T172" i="2" a="1"/>
  <c r="T172" i="2" s="1"/>
  <c r="V172" i="2" s="1"/>
  <c r="O100" i="4" s="1"/>
  <c r="R100" i="4" s="1"/>
  <c r="U100" i="4" s="1"/>
  <c r="T173" i="2" a="1"/>
  <c r="T173" i="2" s="1"/>
  <c r="Z173" i="2" s="1"/>
  <c r="T174" i="2" a="1"/>
  <c r="T174" i="2" s="1"/>
  <c r="Z174" i="2" s="1"/>
  <c r="T175" i="2" a="1"/>
  <c r="T175" i="2" s="1"/>
  <c r="AA175" i="2" s="1"/>
  <c r="T176" i="2" a="1"/>
  <c r="T176" i="2" s="1"/>
  <c r="U176" i="2" s="1"/>
  <c r="T177" i="2" a="1"/>
  <c r="T177" i="2" s="1"/>
  <c r="Z177" i="2" s="1"/>
  <c r="T178" i="2" a="1"/>
  <c r="T178" i="2" s="1"/>
  <c r="U178" i="2" s="1"/>
  <c r="T179" i="2" a="1"/>
  <c r="T179" i="2" s="1"/>
  <c r="Y179" i="2" s="1"/>
  <c r="P81" i="4" s="1"/>
  <c r="T180" i="2" a="1"/>
  <c r="T180" i="2" s="1"/>
  <c r="U180" i="2" s="1"/>
  <c r="T181" i="2" a="1"/>
  <c r="T181" i="2" s="1"/>
  <c r="T182" i="2" a="1"/>
  <c r="T182" i="2" s="1"/>
  <c r="Z182" i="2" s="1"/>
  <c r="T183" i="2" a="1"/>
  <c r="T183" i="2" s="1"/>
  <c r="Z183" i="2" s="1"/>
  <c r="T184" i="2" a="1"/>
  <c r="T184" i="2" s="1"/>
  <c r="Y184" i="2" s="1"/>
  <c r="P36" i="4" s="1"/>
  <c r="T185" i="2" a="1"/>
  <c r="T185" i="2" s="1"/>
  <c r="Z185" i="2" s="1"/>
  <c r="T186" i="2" a="1"/>
  <c r="T186" i="2" s="1"/>
  <c r="Y186" i="2" s="1"/>
  <c r="T187" i="2" a="1"/>
  <c r="T187" i="2" s="1"/>
  <c r="U187" i="2" s="1"/>
  <c r="T188" i="2" a="1"/>
  <c r="T188" i="2" s="1"/>
  <c r="U188" i="2" s="1"/>
  <c r="T189" i="2" a="1"/>
  <c r="T189" i="2" s="1"/>
  <c r="Y189" i="2" s="1"/>
  <c r="P120" i="4" s="1"/>
  <c r="T190" i="2" a="1"/>
  <c r="T190" i="2" s="1"/>
  <c r="AA190" i="2" s="1"/>
  <c r="T191" i="2" a="1"/>
  <c r="T191" i="2" s="1"/>
  <c r="AA191" i="2" s="1"/>
  <c r="T192" i="2" a="1"/>
  <c r="T192" i="2" s="1"/>
  <c r="Y192" i="2" s="1"/>
  <c r="P27" i="4" s="1"/>
  <c r="T193" i="2" a="1"/>
  <c r="T193" i="2" s="1"/>
  <c r="AA193" i="2" s="1"/>
  <c r="T2" i="2" a="1"/>
  <c r="T2" i="2" s="1"/>
  <c r="Z2" i="2" s="1"/>
  <c r="Z9" i="2"/>
  <c r="AA57" i="2"/>
  <c r="V102" i="2"/>
  <c r="O154" i="4" s="1"/>
  <c r="R154" i="4" s="1"/>
  <c r="U154" i="4" s="1"/>
  <c r="Z104" i="2"/>
  <c r="V136" i="2"/>
  <c r="M4" i="4"/>
  <c r="S4" i="4" s="1"/>
  <c r="K162" i="4"/>
  <c r="K157" i="4"/>
  <c r="L162" i="4"/>
  <c r="L7" i="4"/>
  <c r="L12" i="4"/>
  <c r="L17" i="4"/>
  <c r="L22" i="4"/>
  <c r="L27" i="4"/>
  <c r="L32" i="4"/>
  <c r="L37" i="4"/>
  <c r="L42" i="4"/>
  <c r="L47" i="4"/>
  <c r="L52" i="4"/>
  <c r="L57" i="4"/>
  <c r="L62" i="4"/>
  <c r="L67" i="4"/>
  <c r="L72" i="4"/>
  <c r="L77" i="4"/>
  <c r="L82" i="4"/>
  <c r="L87" i="4"/>
  <c r="L92" i="4"/>
  <c r="L97" i="4"/>
  <c r="L102" i="4"/>
  <c r="L107" i="4"/>
  <c r="L112" i="4"/>
  <c r="L117" i="4"/>
  <c r="L122" i="4"/>
  <c r="L127" i="4"/>
  <c r="L132" i="4"/>
  <c r="L137" i="4"/>
  <c r="L142" i="4"/>
  <c r="L147" i="4"/>
  <c r="L152" i="4"/>
  <c r="L157" i="4"/>
  <c r="L2" i="4"/>
  <c r="J2" i="4"/>
  <c r="M5" i="4"/>
  <c r="S5" i="4" s="1"/>
  <c r="M6" i="4"/>
  <c r="S6" i="4" s="1"/>
  <c r="M8" i="4"/>
  <c r="M9" i="4"/>
  <c r="M10" i="4"/>
  <c r="S10" i="4" s="1"/>
  <c r="M11" i="4"/>
  <c r="S11" i="4" s="1"/>
  <c r="M13" i="4"/>
  <c r="S13" i="4" s="1"/>
  <c r="M14" i="4"/>
  <c r="S14" i="4" s="1"/>
  <c r="M15" i="4"/>
  <c r="S15" i="4" s="1"/>
  <c r="M16" i="4"/>
  <c r="S16" i="4" s="1"/>
  <c r="M18" i="4"/>
  <c r="S18" i="4" s="1"/>
  <c r="M23" i="4"/>
  <c r="S23" i="4" s="1"/>
  <c r="M24" i="4"/>
  <c r="M25" i="4"/>
  <c r="S25" i="4" s="1"/>
  <c r="M26" i="4"/>
  <c r="M28" i="4"/>
  <c r="M29" i="4"/>
  <c r="S29" i="4" s="1"/>
  <c r="M31" i="4"/>
  <c r="S31" i="4" s="1"/>
  <c r="M33" i="4"/>
  <c r="M34" i="4"/>
  <c r="M35" i="4"/>
  <c r="M40" i="4"/>
  <c r="M41" i="4"/>
  <c r="S41" i="4" s="1"/>
  <c r="M43" i="4"/>
  <c r="S43" i="4" s="1"/>
  <c r="M44" i="4"/>
  <c r="S44" i="4" s="1"/>
  <c r="M45" i="4"/>
  <c r="M46" i="4"/>
  <c r="M48" i="4"/>
  <c r="M49" i="4"/>
  <c r="S49" i="4" s="1"/>
  <c r="M50" i="4"/>
  <c r="M53" i="4"/>
  <c r="M54" i="4"/>
  <c r="M55" i="4"/>
  <c r="M56" i="4"/>
  <c r="S56" i="4" s="1"/>
  <c r="M58" i="4"/>
  <c r="M59" i="4"/>
  <c r="M60" i="4"/>
  <c r="M61" i="4"/>
  <c r="S61" i="4" s="1"/>
  <c r="M63" i="4"/>
  <c r="M64" i="4"/>
  <c r="S64" i="4" s="1"/>
  <c r="M65" i="4"/>
  <c r="M66" i="4"/>
  <c r="M68" i="4"/>
  <c r="M69" i="4"/>
  <c r="M70" i="4"/>
  <c r="M71" i="4"/>
  <c r="S71" i="4" s="1"/>
  <c r="M73" i="4"/>
  <c r="S73" i="4" s="1"/>
  <c r="M74" i="4"/>
  <c r="M75" i="4"/>
  <c r="M76" i="4"/>
  <c r="M78" i="4"/>
  <c r="M79" i="4"/>
  <c r="M80" i="4"/>
  <c r="M81" i="4"/>
  <c r="S81" i="4" s="1"/>
  <c r="M83" i="4"/>
  <c r="M85" i="4"/>
  <c r="M86" i="4"/>
  <c r="M88" i="4"/>
  <c r="M89" i="4"/>
  <c r="M90" i="4"/>
  <c r="S90" i="4" s="1"/>
  <c r="M91" i="4"/>
  <c r="M93" i="4"/>
  <c r="M94" i="4"/>
  <c r="S94" i="4" s="1"/>
  <c r="M95" i="4"/>
  <c r="M96" i="4"/>
  <c r="M98" i="4"/>
  <c r="M99" i="4"/>
  <c r="M101" i="4"/>
  <c r="M103" i="4"/>
  <c r="M104" i="4"/>
  <c r="S104" i="4" s="1"/>
  <c r="M105" i="4"/>
  <c r="M106" i="4"/>
  <c r="M108" i="4"/>
  <c r="M109" i="4"/>
  <c r="S109" i="4" s="1"/>
  <c r="M110" i="4"/>
  <c r="M111" i="4"/>
  <c r="M113" i="4"/>
  <c r="M114" i="4"/>
  <c r="M115" i="4"/>
  <c r="M120" i="4"/>
  <c r="M121" i="4"/>
  <c r="M123" i="4"/>
  <c r="S123" i="4" s="1"/>
  <c r="M124" i="4"/>
  <c r="M125" i="4"/>
  <c r="M126" i="4"/>
  <c r="M128" i="4"/>
  <c r="S128" i="4" s="1"/>
  <c r="M129" i="4"/>
  <c r="M130" i="4"/>
  <c r="M131" i="4"/>
  <c r="M133" i="4"/>
  <c r="M134" i="4"/>
  <c r="M135" i="4"/>
  <c r="M136" i="4"/>
  <c r="M138" i="4"/>
  <c r="M139" i="4"/>
  <c r="M140" i="4"/>
  <c r="M141" i="4"/>
  <c r="S141" i="4" s="1"/>
  <c r="M143" i="4"/>
  <c r="M144" i="4"/>
  <c r="S144" i="4" s="1"/>
  <c r="M145" i="4"/>
  <c r="M146" i="4"/>
  <c r="M148" i="4"/>
  <c r="M149" i="4"/>
  <c r="M150" i="4"/>
  <c r="M151" i="4"/>
  <c r="M153" i="4"/>
  <c r="M154" i="4"/>
  <c r="M155" i="4"/>
  <c r="S155" i="4" s="1"/>
  <c r="M156" i="4"/>
  <c r="M158" i="4"/>
  <c r="M159" i="4"/>
  <c r="M160" i="4"/>
  <c r="S160" i="4" s="1"/>
  <c r="M161" i="4"/>
  <c r="M163" i="4"/>
  <c r="M164" i="4"/>
  <c r="M3" i="4"/>
  <c r="S3" i="4" s="1"/>
  <c r="M19" i="4"/>
  <c r="S19" i="4" s="1"/>
  <c r="M20" i="4"/>
  <c r="S20" i="4" s="1"/>
  <c r="M21" i="4"/>
  <c r="S21" i="4" s="1"/>
  <c r="M30" i="4"/>
  <c r="S30" i="4" s="1"/>
  <c r="M36" i="4"/>
  <c r="M38" i="4"/>
  <c r="M39" i="4"/>
  <c r="M51" i="4"/>
  <c r="M84" i="4"/>
  <c r="M100" i="4"/>
  <c r="M116" i="4"/>
  <c r="M118" i="4"/>
  <c r="M119" i="4"/>
  <c r="AA20" i="2"/>
  <c r="AA27" i="2"/>
  <c r="AA38" i="2"/>
  <c r="AA51" i="2"/>
  <c r="AA70" i="2"/>
  <c r="AA75" i="2"/>
  <c r="AA99" i="2"/>
  <c r="AA4" i="2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B3" i="5"/>
  <c r="P164" i="4"/>
  <c r="O164" i="4"/>
  <c r="R164" i="4" s="1"/>
  <c r="U164" i="4" s="1"/>
  <c r="N164" i="4"/>
  <c r="Q164" i="4" s="1"/>
  <c r="P96" i="4"/>
  <c r="O96" i="4"/>
  <c r="R96" i="4" s="1"/>
  <c r="U96" i="4" s="1"/>
  <c r="N96" i="4"/>
  <c r="Q96" i="4" s="1"/>
  <c r="P71" i="4"/>
  <c r="O71" i="4"/>
  <c r="R71" i="4" s="1"/>
  <c r="U71" i="4" s="1"/>
  <c r="N71" i="4"/>
  <c r="Q71" i="4" s="1"/>
  <c r="P70" i="4"/>
  <c r="O70" i="4"/>
  <c r="R70" i="4" s="1"/>
  <c r="U70" i="4" s="1"/>
  <c r="N70" i="4"/>
  <c r="Q70" i="4" s="1"/>
  <c r="P69" i="4"/>
  <c r="O69" i="4"/>
  <c r="R69" i="4" s="1"/>
  <c r="U69" i="4" s="1"/>
  <c r="N69" i="4"/>
  <c r="Q69" i="4" s="1"/>
  <c r="P68" i="4"/>
  <c r="O68" i="4"/>
  <c r="R68" i="4" s="1"/>
  <c r="U68" i="4" s="1"/>
  <c r="N68" i="4"/>
  <c r="Q68" i="4" s="1"/>
  <c r="P67" i="4"/>
  <c r="O67" i="4"/>
  <c r="R67" i="4" s="1"/>
  <c r="U67" i="4" s="1"/>
  <c r="N67" i="4"/>
  <c r="Q67" i="4" s="1"/>
  <c r="N64" i="4"/>
  <c r="Q64" i="4" s="1"/>
  <c r="N62" i="4"/>
  <c r="Q62" i="4" s="1"/>
  <c r="N43" i="4"/>
  <c r="Q43" i="4" s="1"/>
  <c r="N42" i="4"/>
  <c r="Q42" i="4" s="1"/>
  <c r="N37" i="4"/>
  <c r="Q37" i="4" s="1"/>
  <c r="N28" i="4"/>
  <c r="Q28" i="4" s="1"/>
  <c r="N15" i="4"/>
  <c r="Q15" i="4" s="1"/>
  <c r="N11" i="4"/>
  <c r="Q11" i="4" s="1"/>
  <c r="N4" i="4"/>
  <c r="Q4" i="4" s="1"/>
  <c r="H164" i="3"/>
  <c r="H163" i="3"/>
  <c r="H162" i="3"/>
  <c r="M193" i="2"/>
  <c r="W193" i="2" s="1"/>
  <c r="W192" i="2"/>
  <c r="M192" i="2"/>
  <c r="N27" i="4" s="1"/>
  <c r="Q27" i="4" s="1"/>
  <c r="M191" i="2"/>
  <c r="W191" i="2" s="1"/>
  <c r="M190" i="2"/>
  <c r="N48" i="4" s="1"/>
  <c r="Q48" i="4" s="1"/>
  <c r="W189" i="2"/>
  <c r="M189" i="2"/>
  <c r="N120" i="4" s="1"/>
  <c r="Q120" i="4" s="1"/>
  <c r="M188" i="2"/>
  <c r="W188" i="2" s="1"/>
  <c r="M187" i="2"/>
  <c r="W186" i="2"/>
  <c r="M186" i="2"/>
  <c r="M185" i="2"/>
  <c r="W185" i="2" s="1"/>
  <c r="W184" i="2"/>
  <c r="M184" i="2"/>
  <c r="N36" i="4" s="1"/>
  <c r="Q36" i="4" s="1"/>
  <c r="W183" i="2"/>
  <c r="M183" i="2"/>
  <c r="N130" i="4" s="1"/>
  <c r="Q130" i="4" s="1"/>
  <c r="W182" i="2"/>
  <c r="M182" i="2"/>
  <c r="N89" i="4" s="1"/>
  <c r="Q89" i="4" s="1"/>
  <c r="M181" i="2"/>
  <c r="N49" i="4" s="1"/>
  <c r="Q49" i="4" s="1"/>
  <c r="W180" i="2"/>
  <c r="M180" i="2"/>
  <c r="N137" i="4" s="1"/>
  <c r="Q137" i="4" s="1"/>
  <c r="M179" i="2"/>
  <c r="W178" i="2"/>
  <c r="M178" i="2"/>
  <c r="N116" i="4" s="1"/>
  <c r="Q116" i="4" s="1"/>
  <c r="M177" i="2"/>
  <c r="N65" i="4" s="1"/>
  <c r="Q65" i="4" s="1"/>
  <c r="M176" i="2"/>
  <c r="W176" i="2" s="1"/>
  <c r="W175" i="2"/>
  <c r="M175" i="2"/>
  <c r="M174" i="2"/>
  <c r="N153" i="4" s="1"/>
  <c r="Q153" i="4" s="1"/>
  <c r="M173" i="2"/>
  <c r="N106" i="4" s="1"/>
  <c r="Q106" i="4" s="1"/>
  <c r="W172" i="2"/>
  <c r="M172" i="2"/>
  <c r="N100" i="4" s="1"/>
  <c r="Q100" i="4" s="1"/>
  <c r="M171" i="2"/>
  <c r="W170" i="2"/>
  <c r="M170" i="2"/>
  <c r="N149" i="4" s="1"/>
  <c r="Q149" i="4" s="1"/>
  <c r="W169" i="2"/>
  <c r="M169" i="2"/>
  <c r="W168" i="2"/>
  <c r="M168" i="2"/>
  <c r="N60" i="4" s="1"/>
  <c r="Q60" i="4" s="1"/>
  <c r="W167" i="2"/>
  <c r="M167" i="2"/>
  <c r="M166" i="2"/>
  <c r="N162" i="4" s="1"/>
  <c r="Q162" i="4" s="1"/>
  <c r="W165" i="2"/>
  <c r="M165" i="2"/>
  <c r="N7" i="4" s="1"/>
  <c r="Q7" i="4" s="1"/>
  <c r="W164" i="2"/>
  <c r="M164" i="2"/>
  <c r="N8" i="4" s="1"/>
  <c r="Q8" i="4" s="1"/>
  <c r="M163" i="2"/>
  <c r="M162" i="2"/>
  <c r="W162" i="2" s="1"/>
  <c r="W161" i="2"/>
  <c r="M161" i="2"/>
  <c r="N82" i="4" s="1"/>
  <c r="Q82" i="4" s="1"/>
  <c r="M160" i="2"/>
  <c r="W160" i="2" s="1"/>
  <c r="W159" i="2"/>
  <c r="M159" i="2"/>
  <c r="N134" i="4" s="1"/>
  <c r="Q134" i="4" s="1"/>
  <c r="M158" i="2"/>
  <c r="W158" i="2" s="1"/>
  <c r="M157" i="2"/>
  <c r="N91" i="4" s="1"/>
  <c r="Q91" i="4" s="1"/>
  <c r="W156" i="2"/>
  <c r="M156" i="2"/>
  <c r="M155" i="2"/>
  <c r="W154" i="2"/>
  <c r="M154" i="2"/>
  <c r="W153" i="2"/>
  <c r="M153" i="2"/>
  <c r="N3" i="4" s="1"/>
  <c r="Q3" i="4" s="1"/>
  <c r="W152" i="2"/>
  <c r="M152" i="2"/>
  <c r="N46" i="4" s="1"/>
  <c r="Q46" i="4" s="1"/>
  <c r="M151" i="2"/>
  <c r="N85" i="4" s="1"/>
  <c r="Q85" i="4" s="1"/>
  <c r="W150" i="2"/>
  <c r="M150" i="2"/>
  <c r="W149" i="2"/>
  <c r="M149" i="2"/>
  <c r="W148" i="2"/>
  <c r="M148" i="2"/>
  <c r="N156" i="4" s="1"/>
  <c r="Q156" i="4" s="1"/>
  <c r="M147" i="2"/>
  <c r="M146" i="2"/>
  <c r="N139" i="4" s="1"/>
  <c r="Q139" i="4" s="1"/>
  <c r="W145" i="2"/>
  <c r="M145" i="2"/>
  <c r="M144" i="2"/>
  <c r="W144" i="2" s="1"/>
  <c r="M143" i="2"/>
  <c r="W143" i="2" s="1"/>
  <c r="W142" i="2"/>
  <c r="M142" i="2"/>
  <c r="N83" i="4" s="1"/>
  <c r="Q83" i="4" s="1"/>
  <c r="M141" i="2"/>
  <c r="N93" i="4" s="1"/>
  <c r="Q93" i="4" s="1"/>
  <c r="W140" i="2"/>
  <c r="M140" i="2"/>
  <c r="N150" i="4" s="1"/>
  <c r="Q150" i="4" s="1"/>
  <c r="M139" i="2"/>
  <c r="W139" i="2" s="1"/>
  <c r="W138" i="2"/>
  <c r="M138" i="2"/>
  <c r="W137" i="2"/>
  <c r="M137" i="2"/>
  <c r="N66" i="4" s="1"/>
  <c r="Q66" i="4" s="1"/>
  <c r="M136" i="2"/>
  <c r="W136" i="2" s="1"/>
  <c r="W135" i="2"/>
  <c r="M135" i="2"/>
  <c r="N74" i="4" s="1"/>
  <c r="Q74" i="4" s="1"/>
  <c r="W134" i="2"/>
  <c r="M134" i="2"/>
  <c r="W133" i="2"/>
  <c r="M133" i="2"/>
  <c r="N104" i="4" s="1"/>
  <c r="Q104" i="4" s="1"/>
  <c r="M132" i="2"/>
  <c r="W132" i="2" s="1"/>
  <c r="M131" i="2"/>
  <c r="M130" i="2"/>
  <c r="N9" i="4" s="1"/>
  <c r="Q9" i="4" s="1"/>
  <c r="W129" i="2"/>
  <c r="M129" i="2"/>
  <c r="N77" i="4" s="1"/>
  <c r="Q77" i="4" s="1"/>
  <c r="M128" i="2"/>
  <c r="N50" i="4" s="1"/>
  <c r="Q50" i="4" s="1"/>
  <c r="M127" i="2"/>
  <c r="W127" i="2" s="1"/>
  <c r="W126" i="2"/>
  <c r="M126" i="2"/>
  <c r="M125" i="2"/>
  <c r="N112" i="4" s="1"/>
  <c r="Q112" i="4" s="1"/>
  <c r="M124" i="2"/>
  <c r="N157" i="4" s="1"/>
  <c r="Q157" i="4" s="1"/>
  <c r="M123" i="2"/>
  <c r="W122" i="2"/>
  <c r="M122" i="2"/>
  <c r="M121" i="2"/>
  <c r="W121" i="2" s="1"/>
  <c r="W120" i="2"/>
  <c r="M120" i="2"/>
  <c r="N102" i="4" s="1"/>
  <c r="Q102" i="4" s="1"/>
  <c r="W119" i="2"/>
  <c r="M119" i="2"/>
  <c r="W118" i="2"/>
  <c r="M118" i="2"/>
  <c r="N34" i="4" s="1"/>
  <c r="Q34" i="4" s="1"/>
  <c r="M117" i="2"/>
  <c r="W117" i="2" s="1"/>
  <c r="Z116" i="2"/>
  <c r="W116" i="2"/>
  <c r="M116" i="2"/>
  <c r="N161" i="4" s="1"/>
  <c r="Q161" i="4" s="1"/>
  <c r="V115" i="2"/>
  <c r="M115" i="2"/>
  <c r="W115" i="2" s="1"/>
  <c r="M114" i="2"/>
  <c r="W114" i="2" s="1"/>
  <c r="M113" i="2"/>
  <c r="N22" i="4" s="1"/>
  <c r="Q22" i="4" s="1"/>
  <c r="W112" i="2"/>
  <c r="M112" i="2"/>
  <c r="N59" i="4" s="1"/>
  <c r="Q59" i="4" s="1"/>
  <c r="M111" i="2"/>
  <c r="N84" i="4" s="1"/>
  <c r="Q84" i="4" s="1"/>
  <c r="W110" i="2"/>
  <c r="M110" i="2"/>
  <c r="N142" i="4" s="1"/>
  <c r="Q142" i="4" s="1"/>
  <c r="M109" i="2"/>
  <c r="N57" i="4" s="1"/>
  <c r="Q57" i="4" s="1"/>
  <c r="M108" i="2"/>
  <c r="N119" i="4" s="1"/>
  <c r="Q119" i="4" s="1"/>
  <c r="M107" i="2"/>
  <c r="W107" i="2" s="1"/>
  <c r="M106" i="2"/>
  <c r="W106" i="2" s="1"/>
  <c r="W105" i="2"/>
  <c r="M105" i="2"/>
  <c r="N25" i="4" s="1"/>
  <c r="Q25" i="4" s="1"/>
  <c r="W104" i="2"/>
  <c r="M104" i="2"/>
  <c r="N114" i="4" s="1"/>
  <c r="Q114" i="4" s="1"/>
  <c r="W103" i="2"/>
  <c r="M103" i="2"/>
  <c r="M102" i="2"/>
  <c r="N154" i="4" s="1"/>
  <c r="Q154" i="4" s="1"/>
  <c r="W101" i="2"/>
  <c r="M101" i="2"/>
  <c r="W100" i="2"/>
  <c r="V100" i="2"/>
  <c r="O158" i="4" s="1"/>
  <c r="R158" i="4" s="1"/>
  <c r="U158" i="4" s="1"/>
  <c r="M100" i="2"/>
  <c r="N158" i="4" s="1"/>
  <c r="Q158" i="4" s="1"/>
  <c r="Y99" i="2"/>
  <c r="P125" i="4" s="1"/>
  <c r="M99" i="2"/>
  <c r="M98" i="2"/>
  <c r="W98" i="2" s="1"/>
  <c r="M97" i="2"/>
  <c r="N35" i="4" s="1"/>
  <c r="Q35" i="4" s="1"/>
  <c r="W96" i="2"/>
  <c r="M96" i="2"/>
  <c r="N52" i="4" s="1"/>
  <c r="Q52" i="4" s="1"/>
  <c r="M95" i="2"/>
  <c r="N79" i="4" s="1"/>
  <c r="Q79" i="4" s="1"/>
  <c r="M94" i="2"/>
  <c r="W94" i="2" s="1"/>
  <c r="W93" i="2"/>
  <c r="M93" i="2"/>
  <c r="N124" i="4" s="1"/>
  <c r="Q124" i="4" s="1"/>
  <c r="M92" i="2"/>
  <c r="N47" i="4" s="1"/>
  <c r="Q47" i="4" s="1"/>
  <c r="M91" i="2"/>
  <c r="W90" i="2"/>
  <c r="M90" i="2"/>
  <c r="N145" i="4" s="1"/>
  <c r="Q145" i="4" s="1"/>
  <c r="W89" i="2"/>
  <c r="M89" i="2"/>
  <c r="N78" i="4" s="1"/>
  <c r="Q78" i="4" s="1"/>
  <c r="W88" i="2"/>
  <c r="M88" i="2"/>
  <c r="N121" i="4" s="1"/>
  <c r="Q121" i="4" s="1"/>
  <c r="M87" i="2"/>
  <c r="W87" i="2" s="1"/>
  <c r="Y86" i="2"/>
  <c r="P110" i="4" s="1"/>
  <c r="M86" i="2"/>
  <c r="N110" i="4" s="1"/>
  <c r="Q110" i="4" s="1"/>
  <c r="W85" i="2"/>
  <c r="M85" i="2"/>
  <c r="N140" i="4" s="1"/>
  <c r="Q140" i="4" s="1"/>
  <c r="Y84" i="2"/>
  <c r="P90" i="4" s="1"/>
  <c r="W84" i="2"/>
  <c r="V84" i="2"/>
  <c r="O90" i="4" s="1"/>
  <c r="R90" i="4" s="1"/>
  <c r="U90" i="4" s="1"/>
  <c r="M84" i="2"/>
  <c r="N90" i="4" s="1"/>
  <c r="Q90" i="4" s="1"/>
  <c r="M83" i="2"/>
  <c r="W83" i="2" s="1"/>
  <c r="W82" i="2"/>
  <c r="M82" i="2"/>
  <c r="N111" i="4" s="1"/>
  <c r="Q111" i="4" s="1"/>
  <c r="M81" i="2"/>
  <c r="N146" i="4" s="1"/>
  <c r="Q146" i="4" s="1"/>
  <c r="W80" i="2"/>
  <c r="M80" i="2"/>
  <c r="N105" i="4" s="1"/>
  <c r="Q105" i="4" s="1"/>
  <c r="M79" i="2"/>
  <c r="W79" i="2" s="1"/>
  <c r="M78" i="2"/>
  <c r="W78" i="2" s="1"/>
  <c r="W77" i="2"/>
  <c r="M77" i="2"/>
  <c r="N123" i="4" s="1"/>
  <c r="Q123" i="4" s="1"/>
  <c r="M76" i="2"/>
  <c r="W76" i="2" s="1"/>
  <c r="Z75" i="2"/>
  <c r="M75" i="2"/>
  <c r="M74" i="2"/>
  <c r="N159" i="4" s="1"/>
  <c r="Q159" i="4" s="1"/>
  <c r="W73" i="2"/>
  <c r="M73" i="2"/>
  <c r="N87" i="4" s="1"/>
  <c r="Q87" i="4" s="1"/>
  <c r="M72" i="2"/>
  <c r="W72" i="2" s="1"/>
  <c r="W71" i="2"/>
  <c r="M71" i="2"/>
  <c r="N56" i="4" s="1"/>
  <c r="Q56" i="4" s="1"/>
  <c r="W70" i="2"/>
  <c r="M70" i="2"/>
  <c r="N51" i="4" s="1"/>
  <c r="Q51" i="4" s="1"/>
  <c r="W69" i="2"/>
  <c r="M69" i="2"/>
  <c r="N115" i="4" s="1"/>
  <c r="Q115" i="4" s="1"/>
  <c r="Z68" i="2"/>
  <c r="V68" i="2"/>
  <c r="O136" i="4" s="1"/>
  <c r="R136" i="4" s="1"/>
  <c r="U136" i="4" s="1"/>
  <c r="M68" i="2"/>
  <c r="N136" i="4" s="1"/>
  <c r="Q136" i="4" s="1"/>
  <c r="Y67" i="2"/>
  <c r="P98" i="4" s="1"/>
  <c r="M67" i="2"/>
  <c r="W66" i="2"/>
  <c r="M66" i="2"/>
  <c r="N129" i="4" s="1"/>
  <c r="Q129" i="4" s="1"/>
  <c r="M65" i="2"/>
  <c r="W65" i="2" s="1"/>
  <c r="M64" i="2"/>
  <c r="W64" i="2" s="1"/>
  <c r="W63" i="2"/>
  <c r="M63" i="2"/>
  <c r="N99" i="4" s="1"/>
  <c r="Q99" i="4" s="1"/>
  <c r="M62" i="2"/>
  <c r="N95" i="4" s="1"/>
  <c r="Q95" i="4" s="1"/>
  <c r="W61" i="2"/>
  <c r="M61" i="2"/>
  <c r="N101" i="4" s="1"/>
  <c r="Q101" i="4" s="1"/>
  <c r="M60" i="2"/>
  <c r="W60" i="2" s="1"/>
  <c r="U59" i="2"/>
  <c r="M59" i="2"/>
  <c r="W59" i="2" s="1"/>
  <c r="W58" i="2"/>
  <c r="M58" i="2"/>
  <c r="N5" i="4" s="1"/>
  <c r="Q5" i="4" s="1"/>
  <c r="M57" i="2"/>
  <c r="N86" i="4" s="1"/>
  <c r="Q86" i="4" s="1"/>
  <c r="M56" i="2"/>
  <c r="N138" i="4" s="1"/>
  <c r="Q138" i="4" s="1"/>
  <c r="W55" i="2"/>
  <c r="M55" i="2"/>
  <c r="N117" i="4" s="1"/>
  <c r="Q117" i="4" s="1"/>
  <c r="W54" i="2"/>
  <c r="M54" i="2"/>
  <c r="N2" i="4" s="1"/>
  <c r="Q2" i="4" s="1"/>
  <c r="M53" i="2"/>
  <c r="N63" i="4" s="1"/>
  <c r="Q63" i="4" s="1"/>
  <c r="Y52" i="2"/>
  <c r="P152" i="4" s="1"/>
  <c r="W52" i="2"/>
  <c r="V52" i="2"/>
  <c r="O152" i="4" s="1"/>
  <c r="R152" i="4" s="1"/>
  <c r="U152" i="4" s="1"/>
  <c r="M52" i="2"/>
  <c r="N152" i="4" s="1"/>
  <c r="Q152" i="4" s="1"/>
  <c r="Y51" i="2"/>
  <c r="P94" i="4" s="1"/>
  <c r="U51" i="2"/>
  <c r="M51" i="2"/>
  <c r="W50" i="2"/>
  <c r="M50" i="2"/>
  <c r="N53" i="4" s="1"/>
  <c r="Q53" i="4" s="1"/>
  <c r="M49" i="2"/>
  <c r="W49" i="2" s="1"/>
  <c r="M48" i="2"/>
  <c r="N118" i="4" s="1"/>
  <c r="Q118" i="4" s="1"/>
  <c r="W47" i="2"/>
  <c r="M47" i="2"/>
  <c r="N151" i="4" s="1"/>
  <c r="Q151" i="4" s="1"/>
  <c r="M46" i="2"/>
  <c r="W46" i="2" s="1"/>
  <c r="U45" i="2"/>
  <c r="M45" i="2"/>
  <c r="N13" i="4" s="1"/>
  <c r="Q13" i="4" s="1"/>
  <c r="W44" i="2"/>
  <c r="M44" i="2"/>
  <c r="N72" i="4" s="1"/>
  <c r="Q72" i="4" s="1"/>
  <c r="V43" i="2"/>
  <c r="M43" i="2"/>
  <c r="W43" i="2" s="1"/>
  <c r="M42" i="2"/>
  <c r="N54" i="4" s="1"/>
  <c r="Q54" i="4" s="1"/>
  <c r="W41" i="2"/>
  <c r="M41" i="2"/>
  <c r="W40" i="2"/>
  <c r="M40" i="2"/>
  <c r="N40" i="4" s="1"/>
  <c r="Q40" i="4" s="1"/>
  <c r="W39" i="2"/>
  <c r="M39" i="2"/>
  <c r="N128" i="4" s="1"/>
  <c r="Q128" i="4" s="1"/>
  <c r="V38" i="2"/>
  <c r="O160" i="4" s="1"/>
  <c r="R160" i="4" s="1"/>
  <c r="U160" i="4" s="1"/>
  <c r="M38" i="2"/>
  <c r="N160" i="4" s="1"/>
  <c r="Q160" i="4" s="1"/>
  <c r="M37" i="2"/>
  <c r="N39" i="4" s="1"/>
  <c r="Q39" i="4" s="1"/>
  <c r="Z36" i="2"/>
  <c r="V36" i="2"/>
  <c r="O44" i="4" s="1"/>
  <c r="R44" i="4" s="1"/>
  <c r="U44" i="4" s="1"/>
  <c r="M36" i="2"/>
  <c r="N44" i="4" s="1"/>
  <c r="Q44" i="4" s="1"/>
  <c r="Y35" i="2"/>
  <c r="P126" i="4" s="1"/>
  <c r="W35" i="2"/>
  <c r="M35" i="2"/>
  <c r="N126" i="4" s="1"/>
  <c r="Q126" i="4" s="1"/>
  <c r="M34" i="2"/>
  <c r="N147" i="4" s="1"/>
  <c r="Q147" i="4" s="1"/>
  <c r="W33" i="2"/>
  <c r="M33" i="2"/>
  <c r="N131" i="4" s="1"/>
  <c r="Q131" i="4" s="1"/>
  <c r="W32" i="2"/>
  <c r="M32" i="2"/>
  <c r="N122" i="4" s="1"/>
  <c r="Q122" i="4" s="1"/>
  <c r="W31" i="2"/>
  <c r="M31" i="2"/>
  <c r="N20" i="4" s="1"/>
  <c r="Q20" i="4" s="1"/>
  <c r="Y30" i="2"/>
  <c r="P107" i="4" s="1"/>
  <c r="U30" i="2"/>
  <c r="M30" i="2"/>
  <c r="W30" i="2" s="1"/>
  <c r="Z29" i="2"/>
  <c r="M29" i="2"/>
  <c r="N18" i="4" s="1"/>
  <c r="Q18" i="4" s="1"/>
  <c r="M28" i="2"/>
  <c r="W28" i="2" s="1"/>
  <c r="W27" i="2"/>
  <c r="M27" i="2"/>
  <c r="N148" i="4" s="1"/>
  <c r="Q148" i="4" s="1"/>
  <c r="U26" i="2"/>
  <c r="M26" i="2"/>
  <c r="N16" i="4" s="1"/>
  <c r="Q16" i="4" s="1"/>
  <c r="W25" i="2"/>
  <c r="M25" i="2"/>
  <c r="N135" i="4" s="1"/>
  <c r="Q135" i="4" s="1"/>
  <c r="W24" i="2"/>
  <c r="M24" i="2"/>
  <c r="N80" i="4" s="1"/>
  <c r="Q80" i="4" s="1"/>
  <c r="W23" i="2"/>
  <c r="M23" i="2"/>
  <c r="N41" i="4" s="1"/>
  <c r="Q41" i="4" s="1"/>
  <c r="Y22" i="2"/>
  <c r="P113" i="4" s="1"/>
  <c r="M22" i="2"/>
  <c r="N113" i="4" s="1"/>
  <c r="Q113" i="4" s="1"/>
  <c r="M21" i="2"/>
  <c r="N103" i="4" s="1"/>
  <c r="Q103" i="4" s="1"/>
  <c r="Z20" i="2"/>
  <c r="V20" i="2"/>
  <c r="O109" i="4" s="1"/>
  <c r="R109" i="4" s="1"/>
  <c r="U109" i="4" s="1"/>
  <c r="M20" i="2"/>
  <c r="N109" i="4" s="1"/>
  <c r="Q109" i="4" s="1"/>
  <c r="W19" i="2"/>
  <c r="M19" i="2"/>
  <c r="N17" i="4" s="1"/>
  <c r="Q17" i="4" s="1"/>
  <c r="M18" i="2"/>
  <c r="N38" i="4" s="1"/>
  <c r="Q38" i="4" s="1"/>
  <c r="W17" i="2"/>
  <c r="M17" i="2"/>
  <c r="W16" i="2"/>
  <c r="M16" i="2"/>
  <c r="N76" i="4" s="1"/>
  <c r="Q76" i="4" s="1"/>
  <c r="W15" i="2"/>
  <c r="M15" i="2"/>
  <c r="N144" i="4" s="1"/>
  <c r="Q144" i="4" s="1"/>
  <c r="M14" i="2"/>
  <c r="W14" i="2" s="1"/>
  <c r="M13" i="2"/>
  <c r="N133" i="4" s="1"/>
  <c r="Q133" i="4" s="1"/>
  <c r="M12" i="2"/>
  <c r="N132" i="4" s="1"/>
  <c r="Q132" i="4" s="1"/>
  <c r="W11" i="2"/>
  <c r="U11" i="2"/>
  <c r="M11" i="2"/>
  <c r="N127" i="4" s="1"/>
  <c r="Q127" i="4" s="1"/>
  <c r="M10" i="2"/>
  <c r="W10" i="2" s="1"/>
  <c r="W9" i="2"/>
  <c r="M9" i="2"/>
  <c r="Y8" i="2"/>
  <c r="P10" i="4" s="1"/>
  <c r="W8" i="2"/>
  <c r="M8" i="2"/>
  <c r="N10" i="4" s="1"/>
  <c r="Q10" i="4" s="1"/>
  <c r="W7" i="2"/>
  <c r="M7" i="2"/>
  <c r="N6" i="4" s="1"/>
  <c r="Q6" i="4" s="1"/>
  <c r="M6" i="2"/>
  <c r="W6" i="2" s="1"/>
  <c r="M5" i="2"/>
  <c r="N55" i="4" s="1"/>
  <c r="Q55" i="4" s="1"/>
  <c r="M4" i="2"/>
  <c r="W4" i="2" s="1"/>
  <c r="Z3" i="2"/>
  <c r="W3" i="2"/>
  <c r="U3" i="2"/>
  <c r="M3" i="2"/>
  <c r="N92" i="4" s="1"/>
  <c r="Q92" i="4" s="1"/>
  <c r="M2" i="2"/>
  <c r="N32" i="4" s="1"/>
  <c r="Q32" i="4" s="1"/>
  <c r="U131" i="2" l="1"/>
  <c r="AA48" i="2"/>
  <c r="AA163" i="2"/>
  <c r="U163" i="2"/>
  <c r="Y163" i="2"/>
  <c r="P143" i="4" s="1"/>
  <c r="AA55" i="2"/>
  <c r="V7" i="2"/>
  <c r="O6" i="4" s="1"/>
  <c r="R6" i="4" s="1"/>
  <c r="U6" i="4" s="1"/>
  <c r="U23" i="2"/>
  <c r="AA180" i="2"/>
  <c r="Y23" i="2"/>
  <c r="P41" i="4" s="1"/>
  <c r="V5" i="2"/>
  <c r="O55" i="4" s="1"/>
  <c r="R55" i="4" s="1"/>
  <c r="U55" i="4" s="1"/>
  <c r="Z85" i="2"/>
  <c r="Z179" i="2"/>
  <c r="AB2" i="2"/>
  <c r="Y64" i="2"/>
  <c r="Y160" i="2"/>
  <c r="Z112" i="2"/>
  <c r="V109" i="2"/>
  <c r="O57" i="4" s="1"/>
  <c r="R57" i="4" s="1"/>
  <c r="U57" i="4" s="1"/>
  <c r="AA11" i="2"/>
  <c r="U61" i="2"/>
  <c r="V46" i="2"/>
  <c r="O73" i="4" s="1"/>
  <c r="R73" i="4" s="1"/>
  <c r="U73" i="4" s="1"/>
  <c r="Y77" i="2"/>
  <c r="P123" i="4" s="1"/>
  <c r="V13" i="2"/>
  <c r="O133" i="4" s="1"/>
  <c r="R133" i="4" s="1"/>
  <c r="U133" i="4" s="1"/>
  <c r="V27" i="2"/>
  <c r="O148" i="4" s="1"/>
  <c r="R148" i="4" s="1"/>
  <c r="U148" i="4" s="1"/>
  <c r="Z78" i="2"/>
  <c r="V33" i="2"/>
  <c r="O131" i="4" s="1"/>
  <c r="R131" i="4" s="1"/>
  <c r="U131" i="4" s="1"/>
  <c r="V77" i="2"/>
  <c r="O123" i="4" s="1"/>
  <c r="R123" i="4" s="1"/>
  <c r="U123" i="4" s="1"/>
  <c r="V49" i="2"/>
  <c r="O31" i="4" s="1"/>
  <c r="R31" i="4" s="1"/>
  <c r="U31" i="4" s="1"/>
  <c r="Y27" i="2"/>
  <c r="P148" i="4" s="1"/>
  <c r="U14" i="2"/>
  <c r="V97" i="2"/>
  <c r="O35" i="4" s="1"/>
  <c r="R35" i="4" s="1"/>
  <c r="U35" i="4" s="1"/>
  <c r="AC45" i="2"/>
  <c r="Y18" i="2"/>
  <c r="P38" i="4" s="1"/>
  <c r="Y48" i="2"/>
  <c r="P118" i="4" s="1"/>
  <c r="U129" i="2"/>
  <c r="U34" i="2"/>
  <c r="U48" i="2"/>
  <c r="AA124" i="2"/>
  <c r="U124" i="2"/>
  <c r="V161" i="2"/>
  <c r="O82" i="4" s="1"/>
  <c r="R82" i="4" s="1"/>
  <c r="U82" i="4" s="1"/>
  <c r="Y145" i="2"/>
  <c r="P4" i="4" s="1"/>
  <c r="U145" i="2"/>
  <c r="Z113" i="2"/>
  <c r="V113" i="2"/>
  <c r="O22" i="4" s="1"/>
  <c r="R22" i="4" s="1"/>
  <c r="U22" i="4" s="1"/>
  <c r="Z81" i="2"/>
  <c r="U81" i="2"/>
  <c r="Y65" i="2"/>
  <c r="P26" i="4" s="1"/>
  <c r="Z65" i="2"/>
  <c r="U65" i="2"/>
  <c r="Y49" i="2"/>
  <c r="P31" i="4" s="1"/>
  <c r="U49" i="2"/>
  <c r="AA49" i="2"/>
  <c r="AA33" i="2"/>
  <c r="Z33" i="2"/>
  <c r="U33" i="2"/>
  <c r="Z97" i="2"/>
  <c r="V192" i="2"/>
  <c r="O27" i="4" s="1"/>
  <c r="R27" i="4" s="1"/>
  <c r="U27" i="4" s="1"/>
  <c r="U192" i="2"/>
  <c r="AA192" i="2"/>
  <c r="Z176" i="2"/>
  <c r="Y176" i="2"/>
  <c r="V176" i="2"/>
  <c r="AA160" i="2"/>
  <c r="Z160" i="2"/>
  <c r="V160" i="2"/>
  <c r="V144" i="2"/>
  <c r="Z144" i="2"/>
  <c r="Z128" i="2"/>
  <c r="Y128" i="2"/>
  <c r="P50" i="4" s="1"/>
  <c r="V128" i="2"/>
  <c r="O50" i="4" s="1"/>
  <c r="R50" i="4" s="1"/>
  <c r="U50" i="4" s="1"/>
  <c r="U128" i="2"/>
  <c r="AA128" i="2"/>
  <c r="AA112" i="2"/>
  <c r="Y112" i="2"/>
  <c r="P59" i="4" s="1"/>
  <c r="V112" i="2"/>
  <c r="O59" i="4" s="1"/>
  <c r="R59" i="4" s="1"/>
  <c r="U59" i="4" s="1"/>
  <c r="U96" i="2"/>
  <c r="AA96" i="2"/>
  <c r="Z96" i="2"/>
  <c r="Y96" i="2"/>
  <c r="P52" i="4" s="1"/>
  <c r="AA80" i="2"/>
  <c r="V80" i="2"/>
  <c r="O105" i="4" s="1"/>
  <c r="R105" i="4" s="1"/>
  <c r="U105" i="4" s="1"/>
  <c r="U80" i="2"/>
  <c r="Z80" i="2"/>
  <c r="Z64" i="2"/>
  <c r="V64" i="2"/>
  <c r="V32" i="2"/>
  <c r="O122" i="4" s="1"/>
  <c r="R122" i="4" s="1"/>
  <c r="U122" i="4" s="1"/>
  <c r="U32" i="2"/>
  <c r="AA32" i="2"/>
  <c r="Y32" i="2"/>
  <c r="P122" i="4" s="1"/>
  <c r="AA16" i="2"/>
  <c r="Y16" i="2"/>
  <c r="P76" i="4" s="1"/>
  <c r="V16" i="2"/>
  <c r="O76" i="4" s="1"/>
  <c r="R76" i="4" s="1"/>
  <c r="U76" i="4" s="1"/>
  <c r="AA95" i="2"/>
  <c r="V95" i="2"/>
  <c r="O79" i="4" s="1"/>
  <c r="R79" i="4" s="1"/>
  <c r="U79" i="4" s="1"/>
  <c r="V110" i="2"/>
  <c r="O142" i="4" s="1"/>
  <c r="R142" i="4" s="1"/>
  <c r="U142" i="4" s="1"/>
  <c r="U110" i="2"/>
  <c r="AA110" i="2"/>
  <c r="Y94" i="2"/>
  <c r="Z94" i="2"/>
  <c r="Y78" i="2"/>
  <c r="P24" i="4" s="1"/>
  <c r="U78" i="2"/>
  <c r="AA78" i="2"/>
  <c r="AA62" i="2"/>
  <c r="Z62" i="2"/>
  <c r="V62" i="2"/>
  <c r="O95" i="4" s="1"/>
  <c r="R95" i="4" s="1"/>
  <c r="U95" i="4" s="1"/>
  <c r="Z46" i="2"/>
  <c r="Y46" i="2"/>
  <c r="P73" i="4" s="1"/>
  <c r="U46" i="2"/>
  <c r="AA30" i="2"/>
  <c r="Z30" i="2"/>
  <c r="V30" i="2"/>
  <c r="O107" i="4" s="1"/>
  <c r="R107" i="4" s="1"/>
  <c r="U107" i="4" s="1"/>
  <c r="AA14" i="2"/>
  <c r="Z14" i="2"/>
  <c r="V14" i="2"/>
  <c r="O23" i="4" s="1"/>
  <c r="R23" i="4" s="1"/>
  <c r="U23" i="4" s="1"/>
  <c r="Y95" i="2"/>
  <c r="P79" i="4" s="1"/>
  <c r="AA176" i="2"/>
  <c r="AA81" i="2"/>
  <c r="U157" i="2"/>
  <c r="Y157" i="2"/>
  <c r="P91" i="4" s="1"/>
  <c r="Y125" i="2"/>
  <c r="P112" i="4" s="1"/>
  <c r="V125" i="2"/>
  <c r="O112" i="4" s="1"/>
  <c r="R112" i="4" s="1"/>
  <c r="U112" i="4" s="1"/>
  <c r="U125" i="2"/>
  <c r="Y93" i="2"/>
  <c r="P124" i="4" s="1"/>
  <c r="Z93" i="2"/>
  <c r="AA93" i="2"/>
  <c r="U93" i="2"/>
  <c r="Z77" i="2"/>
  <c r="U77" i="2"/>
  <c r="AA61" i="2"/>
  <c r="Y61" i="2"/>
  <c r="P101" i="4" s="1"/>
  <c r="V61" i="2"/>
  <c r="O101" i="4" s="1"/>
  <c r="R101" i="4" s="1"/>
  <c r="U101" i="4" s="1"/>
  <c r="Z45" i="2"/>
  <c r="AA45" i="2"/>
  <c r="V45" i="2"/>
  <c r="O13" i="4" s="1"/>
  <c r="R13" i="4" s="1"/>
  <c r="U13" i="4" s="1"/>
  <c r="U29" i="2"/>
  <c r="AA29" i="2"/>
  <c r="Y29" i="2"/>
  <c r="P18" i="4" s="1"/>
  <c r="AA13" i="2"/>
  <c r="Y13" i="2"/>
  <c r="P133" i="4" s="1"/>
  <c r="U13" i="2"/>
  <c r="Y15" i="2"/>
  <c r="P144" i="4" s="1"/>
  <c r="V15" i="2"/>
  <c r="O144" i="4" s="1"/>
  <c r="R144" i="4" s="1"/>
  <c r="U144" i="4" s="1"/>
  <c r="Z15" i="2"/>
  <c r="U15" i="2"/>
  <c r="AA15" i="2"/>
  <c r="AA188" i="2"/>
  <c r="Z188" i="2"/>
  <c r="Y188" i="2"/>
  <c r="P45" i="4" s="1"/>
  <c r="V188" i="2"/>
  <c r="O45" i="4" s="1"/>
  <c r="R45" i="4" s="1"/>
  <c r="U45" i="4" s="1"/>
  <c r="AA172" i="2"/>
  <c r="Z172" i="2"/>
  <c r="Y172" i="2"/>
  <c r="P100" i="4" s="1"/>
  <c r="U172" i="2"/>
  <c r="Y156" i="2"/>
  <c r="P64" i="4" s="1"/>
  <c r="AA156" i="2"/>
  <c r="V156" i="2"/>
  <c r="O64" i="4" s="1"/>
  <c r="R64" i="4" s="1"/>
  <c r="U64" i="4" s="1"/>
  <c r="U156" i="2"/>
  <c r="AA140" i="2"/>
  <c r="Z140" i="2"/>
  <c r="Y140" i="2"/>
  <c r="P150" i="4" s="1"/>
  <c r="V140" i="2"/>
  <c r="O150" i="4" s="1"/>
  <c r="R150" i="4" s="1"/>
  <c r="U150" i="4" s="1"/>
  <c r="Z124" i="2"/>
  <c r="V124" i="2"/>
  <c r="O157" i="4" s="1"/>
  <c r="R157" i="4" s="1"/>
  <c r="U157" i="4" s="1"/>
  <c r="AA108" i="2"/>
  <c r="Y108" i="2"/>
  <c r="P119" i="4" s="1"/>
  <c r="V108" i="2"/>
  <c r="O119" i="4" s="1"/>
  <c r="R119" i="4" s="1"/>
  <c r="U119" i="4" s="1"/>
  <c r="U108" i="2"/>
  <c r="AA92" i="2"/>
  <c r="Z92" i="2"/>
  <c r="Y92" i="2"/>
  <c r="P47" i="4" s="1"/>
  <c r="V92" i="2"/>
  <c r="O47" i="4" s="1"/>
  <c r="R47" i="4" s="1"/>
  <c r="U47" i="4" s="1"/>
  <c r="Z76" i="2"/>
  <c r="Y76" i="2"/>
  <c r="V76" i="2"/>
  <c r="U76" i="2"/>
  <c r="AA76" i="2"/>
  <c r="Y60" i="2"/>
  <c r="P14" i="4" s="1"/>
  <c r="V60" i="2"/>
  <c r="O14" i="4" s="1"/>
  <c r="R14" i="4" s="1"/>
  <c r="U14" i="4" s="1"/>
  <c r="U60" i="2"/>
  <c r="AA60" i="2"/>
  <c r="V44" i="2"/>
  <c r="O72" i="4" s="1"/>
  <c r="R72" i="4" s="1"/>
  <c r="U72" i="4" s="1"/>
  <c r="U44" i="2"/>
  <c r="AA44" i="2"/>
  <c r="Y44" i="2"/>
  <c r="P72" i="4" s="1"/>
  <c r="AA28" i="2"/>
  <c r="Z28" i="2"/>
  <c r="Y28" i="2"/>
  <c r="P30" i="4" s="1"/>
  <c r="V28" i="2"/>
  <c r="O30" i="4" s="1"/>
  <c r="R30" i="4" s="1"/>
  <c r="U30" i="4" s="1"/>
  <c r="Z12" i="2"/>
  <c r="Y12" i="2"/>
  <c r="P132" i="4" s="1"/>
  <c r="U12" i="2"/>
  <c r="V12" i="2"/>
  <c r="O132" i="4" s="1"/>
  <c r="R132" i="4" s="1"/>
  <c r="U132" i="4" s="1"/>
  <c r="AA12" i="2"/>
  <c r="Z31" i="2"/>
  <c r="AA31" i="2"/>
  <c r="U31" i="2"/>
  <c r="AA145" i="2"/>
  <c r="V75" i="2"/>
  <c r="O155" i="4" s="1"/>
  <c r="R155" i="4" s="1"/>
  <c r="U155" i="4" s="1"/>
  <c r="Y75" i="2"/>
  <c r="P155" i="4" s="1"/>
  <c r="AA59" i="2"/>
  <c r="V59" i="2"/>
  <c r="O29" i="4" s="1"/>
  <c r="R29" i="4" s="1"/>
  <c r="U29" i="4" s="1"/>
  <c r="Z43" i="2"/>
  <c r="Y43" i="2"/>
  <c r="AA43" i="2"/>
  <c r="U43" i="2"/>
  <c r="Y11" i="2"/>
  <c r="P127" i="4" s="1"/>
  <c r="V11" i="2"/>
  <c r="O127" i="4" s="1"/>
  <c r="R127" i="4" s="1"/>
  <c r="U127" i="4" s="1"/>
  <c r="Y42" i="2"/>
  <c r="P54" i="4" s="1"/>
  <c r="AA42" i="2"/>
  <c r="Z42" i="2"/>
  <c r="V26" i="2"/>
  <c r="O16" i="4" s="1"/>
  <c r="R16" i="4" s="1"/>
  <c r="U16" i="4" s="1"/>
  <c r="Y26" i="2"/>
  <c r="P16" i="4" s="1"/>
  <c r="AA26" i="2"/>
  <c r="V63" i="2"/>
  <c r="O99" i="4" s="1"/>
  <c r="R99" i="4" s="1"/>
  <c r="U99" i="4" s="1"/>
  <c r="Y63" i="2"/>
  <c r="P99" i="4" s="1"/>
  <c r="U63" i="2"/>
  <c r="AA63" i="2"/>
  <c r="Z121" i="2"/>
  <c r="V121" i="2"/>
  <c r="Z73" i="2"/>
  <c r="V73" i="2"/>
  <c r="O87" i="4" s="1"/>
  <c r="R87" i="4" s="1"/>
  <c r="U87" i="4" s="1"/>
  <c r="V47" i="2"/>
  <c r="O151" i="4" s="1"/>
  <c r="R151" i="4" s="1"/>
  <c r="U151" i="4" s="1"/>
  <c r="U47" i="2"/>
  <c r="AA47" i="2"/>
  <c r="Y47" i="2"/>
  <c r="P151" i="4" s="1"/>
  <c r="V71" i="2"/>
  <c r="O56" i="4" s="1"/>
  <c r="R56" i="4" s="1"/>
  <c r="U56" i="4" s="1"/>
  <c r="U71" i="2"/>
  <c r="AA71" i="2"/>
  <c r="Y71" i="2"/>
  <c r="P56" i="4" s="1"/>
  <c r="Y55" i="2"/>
  <c r="P117" i="4" s="1"/>
  <c r="U55" i="2"/>
  <c r="Y39" i="2"/>
  <c r="P128" i="4" s="1"/>
  <c r="AA39" i="2"/>
  <c r="U39" i="2"/>
  <c r="V8" i="2"/>
  <c r="O10" i="4" s="1"/>
  <c r="R10" i="4" s="1"/>
  <c r="U10" i="4" s="1"/>
  <c r="U8" i="2"/>
  <c r="AA8" i="2"/>
  <c r="Z8" i="2"/>
  <c r="U144" i="2"/>
  <c r="Y31" i="2"/>
  <c r="P20" i="4" s="1"/>
  <c r="Z70" i="2"/>
  <c r="V70" i="2"/>
  <c r="O51" i="4" s="1"/>
  <c r="R51" i="4" s="1"/>
  <c r="U51" i="4" s="1"/>
  <c r="Y70" i="2"/>
  <c r="P51" i="4" s="1"/>
  <c r="Z54" i="2"/>
  <c r="Y54" i="2"/>
  <c r="P2" i="4" s="1"/>
  <c r="V54" i="2"/>
  <c r="O2" i="4" s="1"/>
  <c r="R2" i="4" s="1"/>
  <c r="U2" i="4" s="1"/>
  <c r="U54" i="2"/>
  <c r="Y38" i="2"/>
  <c r="P160" i="4" s="1"/>
  <c r="Z38" i="2"/>
  <c r="U38" i="2"/>
  <c r="AA22" i="2"/>
  <c r="V22" i="2"/>
  <c r="O113" i="4" s="1"/>
  <c r="R113" i="4" s="1"/>
  <c r="U113" i="4" s="1"/>
  <c r="AA7" i="2"/>
  <c r="Z7" i="2"/>
  <c r="U7" i="2"/>
  <c r="Z47" i="2"/>
  <c r="U62" i="2"/>
  <c r="AA64" i="2"/>
  <c r="Z192" i="2"/>
  <c r="Y181" i="2"/>
  <c r="P49" i="4" s="1"/>
  <c r="U181" i="2"/>
  <c r="Z133" i="2"/>
  <c r="Y133" i="2"/>
  <c r="P104" i="4" s="1"/>
  <c r="V101" i="2"/>
  <c r="O11" i="4" s="1"/>
  <c r="R11" i="4" s="1"/>
  <c r="U11" i="4" s="1"/>
  <c r="U101" i="2"/>
  <c r="AA53" i="2"/>
  <c r="Z53" i="2"/>
  <c r="Y62" i="2"/>
  <c r="P95" i="4" s="1"/>
  <c r="V164" i="2"/>
  <c r="O8" i="4" s="1"/>
  <c r="R8" i="4" s="1"/>
  <c r="U8" i="4" s="1"/>
  <c r="AA164" i="2"/>
  <c r="Y164" i="2"/>
  <c r="P8" i="4" s="1"/>
  <c r="AA148" i="2"/>
  <c r="V148" i="2"/>
  <c r="O156" i="4" s="1"/>
  <c r="R156" i="4" s="1"/>
  <c r="U156" i="4" s="1"/>
  <c r="U148" i="2"/>
  <c r="Y132" i="2"/>
  <c r="Z132" i="2"/>
  <c r="V116" i="2"/>
  <c r="O161" i="4" s="1"/>
  <c r="R161" i="4" s="1"/>
  <c r="U161" i="4" s="1"/>
  <c r="U116" i="2"/>
  <c r="AA116" i="2"/>
  <c r="Y116" i="2"/>
  <c r="P161" i="4" s="1"/>
  <c r="Z100" i="2"/>
  <c r="AA100" i="2"/>
  <c r="Y100" i="2"/>
  <c r="P158" i="4" s="1"/>
  <c r="U100" i="2"/>
  <c r="AA84" i="2"/>
  <c r="Z84" i="2"/>
  <c r="U84" i="2"/>
  <c r="AA68" i="2"/>
  <c r="Y68" i="2"/>
  <c r="P136" i="4" s="1"/>
  <c r="U68" i="2"/>
  <c r="AA52" i="2"/>
  <c r="Z52" i="2"/>
  <c r="U52" i="2"/>
  <c r="AA36" i="2"/>
  <c r="Y36" i="2"/>
  <c r="P44" i="4" s="1"/>
  <c r="U36" i="2"/>
  <c r="Y20" i="2"/>
  <c r="P109" i="4" s="1"/>
  <c r="U20" i="2"/>
  <c r="AA5" i="2"/>
  <c r="Y5" i="2"/>
  <c r="P55" i="4" s="1"/>
  <c r="U5" i="2"/>
  <c r="Z145" i="2"/>
  <c r="Z147" i="2"/>
  <c r="Y147" i="2"/>
  <c r="P88" i="4" s="1"/>
  <c r="Z131" i="2"/>
  <c r="Y131" i="2"/>
  <c r="P33" i="4" s="1"/>
  <c r="V131" i="2"/>
  <c r="O33" i="4" s="1"/>
  <c r="R33" i="4" s="1"/>
  <c r="U33" i="4" s="1"/>
  <c r="Z115" i="2"/>
  <c r="Y115" i="2"/>
  <c r="U115" i="2"/>
  <c r="V99" i="2"/>
  <c r="O125" i="4" s="1"/>
  <c r="R125" i="4" s="1"/>
  <c r="U125" i="4" s="1"/>
  <c r="U99" i="2"/>
  <c r="Z99" i="2"/>
  <c r="Z83" i="2"/>
  <c r="Y83" i="2"/>
  <c r="AA83" i="2"/>
  <c r="V83" i="2"/>
  <c r="U83" i="2"/>
  <c r="V67" i="2"/>
  <c r="O98" i="4" s="1"/>
  <c r="R98" i="4" s="1"/>
  <c r="U98" i="4" s="1"/>
  <c r="U67" i="2"/>
  <c r="AA67" i="2"/>
  <c r="Z67" i="2"/>
  <c r="Z51" i="2"/>
  <c r="V51" i="2"/>
  <c r="O94" i="4" s="1"/>
  <c r="R94" i="4" s="1"/>
  <c r="U94" i="4" s="1"/>
  <c r="V35" i="2"/>
  <c r="O126" i="4" s="1"/>
  <c r="R126" i="4" s="1"/>
  <c r="U126" i="4" s="1"/>
  <c r="U35" i="2"/>
  <c r="AA35" i="2"/>
  <c r="Z35" i="2"/>
  <c r="Z19" i="2"/>
  <c r="Y19" i="2"/>
  <c r="P17" i="4" s="1"/>
  <c r="V19" i="2"/>
  <c r="O17" i="4" s="1"/>
  <c r="R17" i="4" s="1"/>
  <c r="U17" i="4" s="1"/>
  <c r="U19" i="2"/>
  <c r="AA19" i="2"/>
  <c r="Z4" i="2"/>
  <c r="Y4" i="2"/>
  <c r="P12" i="4" s="1"/>
  <c r="V4" i="2"/>
  <c r="O12" i="4" s="1"/>
  <c r="R12" i="4" s="1"/>
  <c r="U12" i="4" s="1"/>
  <c r="U4" i="2"/>
  <c r="Z98" i="2"/>
  <c r="Y98" i="2"/>
  <c r="AA82" i="2"/>
  <c r="Y82" i="2"/>
  <c r="P111" i="4" s="1"/>
  <c r="U82" i="2"/>
  <c r="V82" i="2"/>
  <c r="O111" i="4" s="1"/>
  <c r="R111" i="4" s="1"/>
  <c r="U111" i="4" s="1"/>
  <c r="Y66" i="2"/>
  <c r="P129" i="4" s="1"/>
  <c r="Z66" i="2"/>
  <c r="AA66" i="2"/>
  <c r="Z50" i="2"/>
  <c r="U50" i="2"/>
  <c r="AA50" i="2"/>
  <c r="Z34" i="2"/>
  <c r="V34" i="2"/>
  <c r="O147" i="4" s="1"/>
  <c r="R147" i="4" s="1"/>
  <c r="U147" i="4" s="1"/>
  <c r="V18" i="2"/>
  <c r="O38" i="4" s="1"/>
  <c r="R38" i="4" s="1"/>
  <c r="U38" i="4" s="1"/>
  <c r="Z18" i="2"/>
  <c r="U18" i="2"/>
  <c r="Y3" i="2"/>
  <c r="P92" i="4" s="1"/>
  <c r="V3" i="2"/>
  <c r="O92" i="4" s="1"/>
  <c r="R92" i="4" s="1"/>
  <c r="U92" i="4" s="1"/>
  <c r="AA3" i="2"/>
  <c r="V39" i="2"/>
  <c r="O128" i="4" s="1"/>
  <c r="R128" i="4" s="1"/>
  <c r="U128" i="4" s="1"/>
  <c r="V50" i="2"/>
  <c r="O53" i="4" s="1"/>
  <c r="R53" i="4" s="1"/>
  <c r="U53" i="4" s="1"/>
  <c r="Y59" i="2"/>
  <c r="P29" i="4" s="1"/>
  <c r="V66" i="2"/>
  <c r="O129" i="4" s="1"/>
  <c r="R129" i="4" s="1"/>
  <c r="U129" i="4" s="1"/>
  <c r="U75" i="2"/>
  <c r="Y85" i="2"/>
  <c r="P140" i="4" s="1"/>
  <c r="AA97" i="2"/>
  <c r="AA65" i="2"/>
  <c r="U155" i="2"/>
  <c r="U69" i="2"/>
  <c r="V119" i="2"/>
  <c r="V145" i="2"/>
  <c r="O4" i="4" s="1"/>
  <c r="R4" i="4" s="1"/>
  <c r="U4" i="4" s="1"/>
  <c r="Y97" i="2"/>
  <c r="P35" i="4" s="1"/>
  <c r="U109" i="2"/>
  <c r="Z157" i="2"/>
  <c r="Z163" i="2"/>
  <c r="AA144" i="2"/>
  <c r="V181" i="2"/>
  <c r="O49" i="4" s="1"/>
  <c r="R49" i="4" s="1"/>
  <c r="U49" i="4" s="1"/>
  <c r="AA23" i="2"/>
  <c r="Z23" i="2"/>
  <c r="V129" i="2"/>
  <c r="O77" i="4" s="1"/>
  <c r="R77" i="4" s="1"/>
  <c r="U77" i="4" s="1"/>
  <c r="Y148" i="2"/>
  <c r="P156" i="4" s="1"/>
  <c r="AA109" i="2"/>
  <c r="AA133" i="2"/>
  <c r="U27" i="2"/>
  <c r="Z40" i="2"/>
  <c r="U66" i="2"/>
  <c r="V69" i="2"/>
  <c r="O115" i="4" s="1"/>
  <c r="R115" i="4" s="1"/>
  <c r="U115" i="4" s="1"/>
  <c r="Y81" i="2"/>
  <c r="P146" i="4" s="1"/>
  <c r="Z180" i="2"/>
  <c r="U139" i="2"/>
  <c r="U42" i="2"/>
  <c r="V48" i="2"/>
  <c r="O118" i="4" s="1"/>
  <c r="R118" i="4" s="1"/>
  <c r="U118" i="4" s="1"/>
  <c r="V55" i="2"/>
  <c r="O117" i="4" s="1"/>
  <c r="R117" i="4" s="1"/>
  <c r="U117" i="4" s="1"/>
  <c r="V132" i="2"/>
  <c r="Z139" i="2"/>
  <c r="Y144" i="2"/>
  <c r="Z189" i="2"/>
  <c r="AA179" i="2"/>
  <c r="AA34" i="2"/>
  <c r="AA98" i="2"/>
  <c r="U91" i="2"/>
  <c r="Z123" i="2"/>
  <c r="AA107" i="2"/>
  <c r="V21" i="2"/>
  <c r="O103" i="4" s="1"/>
  <c r="R103" i="4" s="1"/>
  <c r="U103" i="4" s="1"/>
  <c r="V53" i="2"/>
  <c r="O63" i="4" s="1"/>
  <c r="R63" i="4" s="1"/>
  <c r="U63" i="4" s="1"/>
  <c r="Y91" i="2"/>
  <c r="P61" i="4" s="1"/>
  <c r="U107" i="2"/>
  <c r="Y171" i="2"/>
  <c r="P97" i="4" s="1"/>
  <c r="Z129" i="2"/>
  <c r="U141" i="2"/>
  <c r="Z101" i="2"/>
  <c r="V114" i="2"/>
  <c r="U119" i="2"/>
  <c r="Y141" i="2"/>
  <c r="P93" i="4" s="1"/>
  <c r="AA2" i="2"/>
  <c r="U2" i="2"/>
  <c r="V2" i="2"/>
  <c r="O32" i="4" s="1"/>
  <c r="R32" i="4" s="1"/>
  <c r="U32" i="4" s="1"/>
  <c r="Y2" i="2"/>
  <c r="P32" i="4" s="1"/>
  <c r="Y138" i="2"/>
  <c r="P37" i="4" s="1"/>
  <c r="AA37" i="2"/>
  <c r="U161" i="2"/>
  <c r="V187" i="2"/>
  <c r="O141" i="4" s="1"/>
  <c r="R141" i="4" s="1"/>
  <c r="U141" i="4" s="1"/>
  <c r="Z16" i="2"/>
  <c r="Z69" i="2"/>
  <c r="V94" i="2"/>
  <c r="U98" i="2"/>
  <c r="Y149" i="2"/>
  <c r="P42" i="4" s="1"/>
  <c r="V193" i="2"/>
  <c r="O28" i="4" s="1"/>
  <c r="R28" i="4" s="1"/>
  <c r="U28" i="4" s="1"/>
  <c r="AA157" i="2"/>
  <c r="V98" i="2"/>
  <c r="U113" i="2"/>
  <c r="Z161" i="2"/>
  <c r="Z162" i="2"/>
  <c r="Z22" i="2"/>
  <c r="U86" i="2"/>
  <c r="Y110" i="2"/>
  <c r="P142" i="4" s="1"/>
  <c r="V141" i="2"/>
  <c r="O93" i="4" s="1"/>
  <c r="R93" i="4" s="1"/>
  <c r="U93" i="4" s="1"/>
  <c r="AA189" i="2"/>
  <c r="AA129" i="2"/>
  <c r="AA91" i="2"/>
  <c r="AA21" i="2"/>
  <c r="Y53" i="2"/>
  <c r="P63" i="4" s="1"/>
  <c r="Z86" i="2"/>
  <c r="V111" i="2"/>
  <c r="O84" i="4" s="1"/>
  <c r="R84" i="4" s="1"/>
  <c r="U84" i="4" s="1"/>
  <c r="V126" i="2"/>
  <c r="Z171" i="2"/>
  <c r="AA187" i="2"/>
  <c r="AA86" i="2"/>
  <c r="AA58" i="2"/>
  <c r="Y111" i="2"/>
  <c r="P84" i="4" s="1"/>
  <c r="AA74" i="2"/>
  <c r="U24" i="2"/>
  <c r="Y69" i="2"/>
  <c r="P115" i="4" s="1"/>
  <c r="U73" i="2"/>
  <c r="V91" i="2"/>
  <c r="O61" i="4" s="1"/>
  <c r="R61" i="4" s="1"/>
  <c r="U61" i="4" s="1"/>
  <c r="Y101" i="2"/>
  <c r="P11" i="4" s="1"/>
  <c r="Z107" i="2"/>
  <c r="Y121" i="2"/>
  <c r="Z125" i="2"/>
  <c r="Z164" i="2"/>
  <c r="V171" i="2"/>
  <c r="O97" i="4" s="1"/>
  <c r="R97" i="4" s="1"/>
  <c r="U97" i="4" s="1"/>
  <c r="Z181" i="2"/>
  <c r="AA94" i="2"/>
  <c r="AA73" i="2"/>
  <c r="AA54" i="2"/>
  <c r="U25" i="2"/>
  <c r="V57" i="2"/>
  <c r="O86" i="4" s="1"/>
  <c r="R86" i="4" s="1"/>
  <c r="U86" i="4" s="1"/>
  <c r="U70" i="2"/>
  <c r="Z102" i="2"/>
  <c r="U122" i="2"/>
  <c r="V152" i="2"/>
  <c r="O46" i="4" s="1"/>
  <c r="R46" i="4" s="1"/>
  <c r="U46" i="4" s="1"/>
  <c r="V25" i="2"/>
  <c r="O135" i="4" s="1"/>
  <c r="R135" i="4" s="1"/>
  <c r="U135" i="4" s="1"/>
  <c r="U37" i="2"/>
  <c r="V41" i="2"/>
  <c r="Y50" i="2"/>
  <c r="P53" i="4" s="1"/>
  <c r="Y74" i="2"/>
  <c r="P159" i="4" s="1"/>
  <c r="Z126" i="2"/>
  <c r="V138" i="2"/>
  <c r="O37" i="4" s="1"/>
  <c r="R37" i="4" s="1"/>
  <c r="U37" i="4" s="1"/>
  <c r="Z166" i="2"/>
  <c r="AA90" i="2"/>
  <c r="U57" i="2"/>
  <c r="AA122" i="2"/>
  <c r="AA121" i="2"/>
  <c r="U22" i="2"/>
  <c r="U58" i="2"/>
  <c r="Z74" i="2"/>
  <c r="V142" i="2"/>
  <c r="O83" i="4" s="1"/>
  <c r="R83" i="4" s="1"/>
  <c r="U83" i="4" s="1"/>
  <c r="U147" i="2"/>
  <c r="Y162" i="2"/>
  <c r="V189" i="2"/>
  <c r="O120" i="4" s="1"/>
  <c r="R120" i="4" s="1"/>
  <c r="U120" i="4" s="1"/>
  <c r="AA149" i="2"/>
  <c r="AA89" i="2"/>
  <c r="V90" i="2"/>
  <c r="O145" i="4" s="1"/>
  <c r="R145" i="4" s="1"/>
  <c r="U145" i="4" s="1"/>
  <c r="Z105" i="2"/>
  <c r="Z148" i="2"/>
  <c r="U174" i="2"/>
  <c r="Y180" i="2"/>
  <c r="P137" i="4" s="1"/>
  <c r="AA186" i="2"/>
  <c r="AA102" i="2"/>
  <c r="U79" i="2"/>
  <c r="Y25" i="2"/>
  <c r="P135" i="4" s="1"/>
  <c r="Z25" i="2"/>
  <c r="Y58" i="2"/>
  <c r="P5" i="4" s="1"/>
  <c r="Y89" i="2"/>
  <c r="P78" i="4" s="1"/>
  <c r="U154" i="2"/>
  <c r="V105" i="2"/>
  <c r="O25" i="4" s="1"/>
  <c r="R25" i="4" s="1"/>
  <c r="U25" i="4" s="1"/>
  <c r="V154" i="2"/>
  <c r="U186" i="2"/>
  <c r="U90" i="2"/>
  <c r="V186" i="2"/>
  <c r="AA138" i="2"/>
  <c r="U170" i="2"/>
  <c r="Z186" i="2"/>
  <c r="AA132" i="2"/>
  <c r="Z79" i="2"/>
  <c r="Z90" i="2"/>
  <c r="U106" i="2"/>
  <c r="U164" i="2"/>
  <c r="V170" i="2"/>
  <c r="O149" i="4" s="1"/>
  <c r="R149" i="4" s="1"/>
  <c r="U149" i="4" s="1"/>
  <c r="U9" i="2"/>
  <c r="Y6" i="2"/>
  <c r="V9" i="2"/>
  <c r="AA10" i="2"/>
  <c r="V10" i="2"/>
  <c r="U6" i="2"/>
  <c r="V6" i="2"/>
  <c r="Z6" i="2"/>
  <c r="AA9" i="2"/>
  <c r="U10" i="2"/>
  <c r="Y9" i="2"/>
  <c r="Y10" i="2"/>
  <c r="Y136" i="2"/>
  <c r="U151" i="2"/>
  <c r="U85" i="2"/>
  <c r="Z89" i="2"/>
  <c r="V107" i="2"/>
  <c r="O75" i="4" s="1"/>
  <c r="R75" i="4" s="1"/>
  <c r="U75" i="4" s="1"/>
  <c r="Z110" i="2"/>
  <c r="Y114" i="2"/>
  <c r="U123" i="2"/>
  <c r="Y143" i="2"/>
  <c r="V151" i="2"/>
  <c r="O85" i="4" s="1"/>
  <c r="R85" i="4" s="1"/>
  <c r="U85" i="4" s="1"/>
  <c r="U183" i="2"/>
  <c r="AA101" i="2"/>
  <c r="V37" i="2"/>
  <c r="O39" i="4" s="1"/>
  <c r="R39" i="4" s="1"/>
  <c r="U39" i="4" s="1"/>
  <c r="U53" i="2"/>
  <c r="V79" i="2"/>
  <c r="Y123" i="2"/>
  <c r="P108" i="4" s="1"/>
  <c r="Y126" i="2"/>
  <c r="Z143" i="2"/>
  <c r="V147" i="2"/>
  <c r="O88" i="4" s="1"/>
  <c r="R88" i="4" s="1"/>
  <c r="U88" i="4" s="1"/>
  <c r="U179" i="2"/>
  <c r="AA174" i="2"/>
  <c r="AA147" i="2"/>
  <c r="AA123" i="2"/>
  <c r="Y41" i="2"/>
  <c r="Y57" i="2"/>
  <c r="P86" i="4" s="1"/>
  <c r="V104" i="2"/>
  <c r="O114" i="4" s="1"/>
  <c r="R114" i="4" s="1"/>
  <c r="U114" i="4" s="1"/>
  <c r="Z127" i="2"/>
  <c r="V174" i="2"/>
  <c r="O153" i="4" s="1"/>
  <c r="R153" i="4" s="1"/>
  <c r="U153" i="4" s="1"/>
  <c r="AA171" i="2"/>
  <c r="AA142" i="2"/>
  <c r="AA117" i="2"/>
  <c r="Z57" i="2"/>
  <c r="Y73" i="2"/>
  <c r="P87" i="4" s="1"/>
  <c r="Y161" i="2"/>
  <c r="P82" i="4" s="1"/>
  <c r="Z170" i="2"/>
  <c r="Y174" i="2"/>
  <c r="P153" i="4" s="1"/>
  <c r="V180" i="2"/>
  <c r="O137" i="4" s="1"/>
  <c r="R137" i="4" s="1"/>
  <c r="U137" i="4" s="1"/>
  <c r="Y185" i="2"/>
  <c r="U189" i="2"/>
  <c r="AA170" i="2"/>
  <c r="AA141" i="2"/>
  <c r="U120" i="2"/>
  <c r="Z137" i="2"/>
  <c r="Z153" i="2"/>
  <c r="Y165" i="2"/>
  <c r="P7" i="4" s="1"/>
  <c r="AA165" i="2"/>
  <c r="AA41" i="2"/>
  <c r="U104" i="2"/>
  <c r="Z136" i="2"/>
  <c r="U94" i="2"/>
  <c r="U105" i="2"/>
  <c r="U132" i="2"/>
  <c r="Z165" i="2"/>
  <c r="AA139" i="2"/>
  <c r="AA114" i="2"/>
  <c r="AA173" i="2"/>
  <c r="V89" i="2"/>
  <c r="O78" i="4" s="1"/>
  <c r="R78" i="4" s="1"/>
  <c r="U78" i="4" s="1"/>
  <c r="Z95" i="2"/>
  <c r="Z106" i="2"/>
  <c r="Y113" i="2"/>
  <c r="P22" i="4" s="1"/>
  <c r="V117" i="2"/>
  <c r="V122" i="2"/>
  <c r="V139" i="2"/>
  <c r="O21" i="4" s="1"/>
  <c r="R21" i="4" s="1"/>
  <c r="U21" i="4" s="1"/>
  <c r="Y142" i="2"/>
  <c r="P83" i="4" s="1"/>
  <c r="Y155" i="2"/>
  <c r="P163" i="4" s="1"/>
  <c r="V168" i="2"/>
  <c r="O60" i="4" s="1"/>
  <c r="R60" i="4" s="1"/>
  <c r="U60" i="4" s="1"/>
  <c r="Y187" i="2"/>
  <c r="P141" i="4" s="1"/>
  <c r="AA181" i="2"/>
  <c r="AA155" i="2"/>
  <c r="AA106" i="2"/>
  <c r="AA85" i="2"/>
  <c r="U21" i="2"/>
  <c r="U40" i="2"/>
  <c r="Y102" i="2"/>
  <c r="P154" i="4" s="1"/>
  <c r="Y117" i="2"/>
  <c r="U126" i="2"/>
  <c r="Z142" i="2"/>
  <c r="Y146" i="2"/>
  <c r="P139" i="4" s="1"/>
  <c r="Z155" i="2"/>
  <c r="Z187" i="2"/>
  <c r="AA154" i="2"/>
  <c r="AA105" i="2"/>
  <c r="V120" i="2"/>
  <c r="O102" i="4" s="1"/>
  <c r="R102" i="4" s="1"/>
  <c r="U102" i="4" s="1"/>
  <c r="U135" i="2"/>
  <c r="Z146" i="2"/>
  <c r="U158" i="2"/>
  <c r="Y169" i="2"/>
  <c r="U184" i="2"/>
  <c r="U41" i="2"/>
  <c r="Z58" i="2"/>
  <c r="Y79" i="2"/>
  <c r="V88" i="2"/>
  <c r="O121" i="4" s="1"/>
  <c r="R121" i="4" s="1"/>
  <c r="U121" i="4" s="1"/>
  <c r="Z111" i="2"/>
  <c r="Z114" i="2"/>
  <c r="Z117" i="2"/>
  <c r="V135" i="2"/>
  <c r="O74" i="4" s="1"/>
  <c r="R74" i="4" s="1"/>
  <c r="U74" i="4" s="1"/>
  <c r="U138" i="2"/>
  <c r="Z149" i="2"/>
  <c r="Y152" i="2"/>
  <c r="P46" i="4" s="1"/>
  <c r="V158" i="2"/>
  <c r="U167" i="2"/>
  <c r="Z169" i="2"/>
  <c r="Y175" i="2"/>
  <c r="Y178" i="2"/>
  <c r="P116" i="4" s="1"/>
  <c r="V184" i="2"/>
  <c r="O36" i="4" s="1"/>
  <c r="R36" i="4" s="1"/>
  <c r="U36" i="4" s="1"/>
  <c r="U190" i="2"/>
  <c r="U193" i="2"/>
  <c r="V24" i="2"/>
  <c r="O80" i="4" s="1"/>
  <c r="R80" i="4" s="1"/>
  <c r="U80" i="4" s="1"/>
  <c r="V56" i="2"/>
  <c r="O138" i="4" s="1"/>
  <c r="R138" i="4" s="1"/>
  <c r="U138" i="4" s="1"/>
  <c r="Z88" i="2"/>
  <c r="V118" i="2"/>
  <c r="O34" i="4" s="1"/>
  <c r="R34" i="4" s="1"/>
  <c r="U34" i="4" s="1"/>
  <c r="U133" i="2"/>
  <c r="Z135" i="2"/>
  <c r="U173" i="2"/>
  <c r="U182" i="2"/>
  <c r="Z184" i="2"/>
  <c r="Z190" i="2"/>
  <c r="Z193" i="2"/>
  <c r="AA185" i="2"/>
  <c r="AA169" i="2"/>
  <c r="AA153" i="2"/>
  <c r="AA137" i="2"/>
  <c r="Y21" i="2"/>
  <c r="P103" i="4" s="1"/>
  <c r="Y56" i="2"/>
  <c r="P138" i="4" s="1"/>
  <c r="U74" i="2"/>
  <c r="Y103" i="2"/>
  <c r="V106" i="2"/>
  <c r="O58" i="4" s="1"/>
  <c r="R58" i="4" s="1"/>
  <c r="U58" i="4" s="1"/>
  <c r="Y109" i="2"/>
  <c r="P57" i="4" s="1"/>
  <c r="U121" i="2"/>
  <c r="U127" i="2"/>
  <c r="U130" i="2"/>
  <c r="V133" i="2"/>
  <c r="O104" i="4" s="1"/>
  <c r="R104" i="4" s="1"/>
  <c r="U104" i="4" s="1"/>
  <c r="V153" i="2"/>
  <c r="O3" i="4" s="1"/>
  <c r="R3" i="4" s="1"/>
  <c r="U3" i="4" s="1"/>
  <c r="U159" i="2"/>
  <c r="Z167" i="2"/>
  <c r="V173" i="2"/>
  <c r="O106" i="4" s="1"/>
  <c r="R106" i="4" s="1"/>
  <c r="U106" i="4" s="1"/>
  <c r="V179" i="2"/>
  <c r="O81" i="4" s="1"/>
  <c r="R81" i="4" s="1"/>
  <c r="U81" i="4" s="1"/>
  <c r="V182" i="2"/>
  <c r="O89" i="4" s="1"/>
  <c r="R89" i="4" s="1"/>
  <c r="U89" i="4" s="1"/>
  <c r="AA184" i="2"/>
  <c r="AA168" i="2"/>
  <c r="AA152" i="2"/>
  <c r="AA136" i="2"/>
  <c r="AA120" i="2"/>
  <c r="AA104" i="2"/>
  <c r="AA88" i="2"/>
  <c r="AA72" i="2"/>
  <c r="AA56" i="2"/>
  <c r="AA40" i="2"/>
  <c r="AA24" i="2"/>
  <c r="U88" i="2"/>
  <c r="U103" i="2"/>
  <c r="Y120" i="2"/>
  <c r="P102" i="4" s="1"/>
  <c r="Z152" i="2"/>
  <c r="Y158" i="2"/>
  <c r="V167" i="2"/>
  <c r="Z175" i="2"/>
  <c r="Z178" i="2"/>
  <c r="V190" i="2"/>
  <c r="O48" i="4" s="1"/>
  <c r="R48" i="4" s="1"/>
  <c r="U48" i="4" s="1"/>
  <c r="V103" i="2"/>
  <c r="U118" i="2"/>
  <c r="Y135" i="2"/>
  <c r="P74" i="4" s="1"/>
  <c r="U150" i="2"/>
  <c r="Z158" i="2"/>
  <c r="Y190" i="2"/>
  <c r="P48" i="4" s="1"/>
  <c r="Y193" i="2"/>
  <c r="P28" i="4" s="1"/>
  <c r="Y24" i="2"/>
  <c r="P80" i="4" s="1"/>
  <c r="Z56" i="2"/>
  <c r="Z103" i="2"/>
  <c r="Y118" i="2"/>
  <c r="P34" i="4" s="1"/>
  <c r="V127" i="2"/>
  <c r="O19" i="4" s="1"/>
  <c r="R19" i="4" s="1"/>
  <c r="U19" i="4" s="1"/>
  <c r="V130" i="2"/>
  <c r="O9" i="4" s="1"/>
  <c r="R9" i="4" s="1"/>
  <c r="U9" i="4" s="1"/>
  <c r="U136" i="2"/>
  <c r="Y150" i="2"/>
  <c r="P43" i="4" s="1"/>
  <c r="V159" i="2"/>
  <c r="O134" i="4" s="1"/>
  <c r="R134" i="4" s="1"/>
  <c r="U134" i="4" s="1"/>
  <c r="U162" i="2"/>
  <c r="U165" i="2"/>
  <c r="Y173" i="2"/>
  <c r="P106" i="4" s="1"/>
  <c r="U185" i="2"/>
  <c r="U191" i="2"/>
  <c r="AA183" i="2"/>
  <c r="AA167" i="2"/>
  <c r="AA151" i="2"/>
  <c r="AA119" i="2"/>
  <c r="AA87" i="2"/>
  <c r="V150" i="2"/>
  <c r="O43" i="4" s="1"/>
  <c r="R43" i="4" s="1"/>
  <c r="U43" i="4" s="1"/>
  <c r="U153" i="2"/>
  <c r="U95" i="2"/>
  <c r="Z118" i="2"/>
  <c r="Y127" i="2"/>
  <c r="P19" i="4" s="1"/>
  <c r="Y130" i="2"/>
  <c r="P9" i="4" s="1"/>
  <c r="Z150" i="2"/>
  <c r="V162" i="2"/>
  <c r="U168" i="2"/>
  <c r="Y182" i="2"/>
  <c r="P89" i="4" s="1"/>
  <c r="V185" i="2"/>
  <c r="V191" i="2"/>
  <c r="AA182" i="2"/>
  <c r="AA166" i="2"/>
  <c r="AA134" i="2"/>
  <c r="V175" i="2"/>
  <c r="V178" i="2"/>
  <c r="O116" i="4" s="1"/>
  <c r="R116" i="4" s="1"/>
  <c r="U116" i="4" s="1"/>
  <c r="Y72" i="2"/>
  <c r="V87" i="2"/>
  <c r="AA177" i="2"/>
  <c r="AA113" i="2"/>
  <c r="Z130" i="2"/>
  <c r="Y159" i="2"/>
  <c r="P134" i="4" s="1"/>
  <c r="Y191" i="2"/>
  <c r="Z159" i="2"/>
  <c r="U177" i="2"/>
  <c r="Z191" i="2"/>
  <c r="U72" i="2"/>
  <c r="U134" i="2"/>
  <c r="Y168" i="2"/>
  <c r="P60" i="4" s="1"/>
  <c r="V177" i="2"/>
  <c r="O65" i="4" s="1"/>
  <c r="R65" i="4" s="1"/>
  <c r="U65" i="4" s="1"/>
  <c r="V72" i="2"/>
  <c r="U87" i="2"/>
  <c r="Y104" i="2"/>
  <c r="P114" i="4" s="1"/>
  <c r="V134" i="2"/>
  <c r="O15" i="4" s="1"/>
  <c r="R15" i="4" s="1"/>
  <c r="U15" i="4" s="1"/>
  <c r="U137" i="2"/>
  <c r="Y151" i="2"/>
  <c r="P85" i="4" s="1"/>
  <c r="Y177" i="2"/>
  <c r="P65" i="4" s="1"/>
  <c r="V183" i="2"/>
  <c r="O130" i="4" s="1"/>
  <c r="R130" i="4" s="1"/>
  <c r="U130" i="4" s="1"/>
  <c r="AA178" i="2"/>
  <c r="AA146" i="2"/>
  <c r="V40" i="2"/>
  <c r="O40" i="4" s="1"/>
  <c r="R40" i="4" s="1"/>
  <c r="U40" i="4" s="1"/>
  <c r="Y119" i="2"/>
  <c r="V137" i="2"/>
  <c r="O66" i="4" s="1"/>
  <c r="R66" i="4" s="1"/>
  <c r="U66" i="4" s="1"/>
  <c r="U166" i="2"/>
  <c r="Y37" i="2"/>
  <c r="P39" i="4" s="1"/>
  <c r="Y87" i="2"/>
  <c r="U102" i="2"/>
  <c r="Y122" i="2"/>
  <c r="Y134" i="2"/>
  <c r="P15" i="4" s="1"/>
  <c r="U143" i="2"/>
  <c r="U146" i="2"/>
  <c r="U149" i="2"/>
  <c r="Y154" i="2"/>
  <c r="V166" i="2"/>
  <c r="O162" i="4" s="1"/>
  <c r="R162" i="4" s="1"/>
  <c r="U162" i="4" s="1"/>
  <c r="U169" i="2"/>
  <c r="Y183" i="2"/>
  <c r="P130" i="4" s="1"/>
  <c r="U111" i="2"/>
  <c r="V143" i="2"/>
  <c r="U175" i="2"/>
  <c r="Y17" i="2"/>
  <c r="P62" i="4" s="1"/>
  <c r="Z17" i="2"/>
  <c r="AA17" i="2"/>
  <c r="U17" i="2"/>
  <c r="M157" i="4"/>
  <c r="S157" i="4" s="1"/>
  <c r="S8" i="4"/>
  <c r="S9" i="4"/>
  <c r="S24" i="4"/>
  <c r="S83" i="4"/>
  <c r="S88" i="4"/>
  <c r="S98" i="4"/>
  <c r="S124" i="4"/>
  <c r="T124" i="4" s="1"/>
  <c r="V124" i="4" s="1"/>
  <c r="S140" i="4"/>
  <c r="T140" i="4" s="1"/>
  <c r="V140" i="4" s="1"/>
  <c r="S146" i="4"/>
  <c r="T146" i="4" s="1"/>
  <c r="V146" i="4" s="1"/>
  <c r="S26" i="4"/>
  <c r="S120" i="4"/>
  <c r="S79" i="4"/>
  <c r="S84" i="4"/>
  <c r="S75" i="4"/>
  <c r="S91" i="4"/>
  <c r="T91" i="4" s="1"/>
  <c r="V91" i="4" s="1"/>
  <c r="S86" i="4"/>
  <c r="S96" i="4"/>
  <c r="T96" i="4" s="1"/>
  <c r="V96" i="4" s="1"/>
  <c r="S106" i="4"/>
  <c r="S51" i="4"/>
  <c r="S118" i="4"/>
  <c r="S150" i="4"/>
  <c r="S113" i="4"/>
  <c r="T113" i="4" s="1"/>
  <c r="V113" i="4" s="1"/>
  <c r="S145" i="4"/>
  <c r="S39" i="4"/>
  <c r="S85" i="4"/>
  <c r="S108" i="4"/>
  <c r="S28" i="4"/>
  <c r="S80" i="4"/>
  <c r="S53" i="4"/>
  <c r="S58" i="4"/>
  <c r="S63" i="4"/>
  <c r="S138" i="4"/>
  <c r="S76" i="4"/>
  <c r="S70" i="4"/>
  <c r="T70" i="4" s="1"/>
  <c r="V70" i="4" s="1"/>
  <c r="S114" i="4"/>
  <c r="S134" i="4"/>
  <c r="S139" i="4"/>
  <c r="T139" i="4" s="1"/>
  <c r="V139" i="4" s="1"/>
  <c r="S148" i="4"/>
  <c r="T148" i="4" s="1"/>
  <c r="V148" i="4" s="1"/>
  <c r="S158" i="4"/>
  <c r="T158" i="4" s="1"/>
  <c r="V158" i="4" s="1"/>
  <c r="S163" i="4"/>
  <c r="S119" i="4"/>
  <c r="T119" i="4" s="1"/>
  <c r="V119" i="4" s="1"/>
  <c r="S129" i="4"/>
  <c r="S54" i="4"/>
  <c r="T54" i="4" s="1"/>
  <c r="V54" i="4" s="1"/>
  <c r="S149" i="4"/>
  <c r="S45" i="4"/>
  <c r="S100" i="4"/>
  <c r="T100" i="4" s="1"/>
  <c r="V100" i="4" s="1"/>
  <c r="S110" i="4"/>
  <c r="T110" i="4" s="1"/>
  <c r="V110" i="4" s="1"/>
  <c r="S154" i="4"/>
  <c r="T154" i="4" s="1"/>
  <c r="V154" i="4" s="1"/>
  <c r="S60" i="4"/>
  <c r="S125" i="4"/>
  <c r="S130" i="4"/>
  <c r="S135" i="4"/>
  <c r="S164" i="4"/>
  <c r="T164" i="4" s="1"/>
  <c r="V164" i="4" s="1"/>
  <c r="S74" i="4"/>
  <c r="S101" i="4"/>
  <c r="S38" i="4"/>
  <c r="S65" i="4"/>
  <c r="S69" i="4"/>
  <c r="T69" i="4" s="1"/>
  <c r="V69" i="4" s="1"/>
  <c r="S93" i="4"/>
  <c r="S116" i="4"/>
  <c r="S126" i="4"/>
  <c r="S136" i="4"/>
  <c r="T136" i="4" s="1"/>
  <c r="V136" i="4" s="1"/>
  <c r="S151" i="4"/>
  <c r="S156" i="4"/>
  <c r="S161" i="4"/>
  <c r="S33" i="4"/>
  <c r="S103" i="4"/>
  <c r="T6" i="4"/>
  <c r="V6" i="4" s="1"/>
  <c r="T44" i="4"/>
  <c r="V44" i="4" s="1"/>
  <c r="T5" i="4"/>
  <c r="V5" i="4" s="1"/>
  <c r="T76" i="4"/>
  <c r="V76" i="4" s="1"/>
  <c r="T13" i="4"/>
  <c r="V13" i="4" s="1"/>
  <c r="T90" i="4"/>
  <c r="V90" i="4" s="1"/>
  <c r="T160" i="4"/>
  <c r="V160" i="4" s="1"/>
  <c r="T71" i="4"/>
  <c r="V71" i="4" s="1"/>
  <c r="T41" i="4"/>
  <c r="V41" i="4" s="1"/>
  <c r="T64" i="4"/>
  <c r="V64" i="4" s="1"/>
  <c r="T18" i="4"/>
  <c r="V18" i="4" s="1"/>
  <c r="T20" i="4"/>
  <c r="V20" i="4" s="1"/>
  <c r="W26" i="2"/>
  <c r="W34" i="2"/>
  <c r="W42" i="2"/>
  <c r="W102" i="2"/>
  <c r="W18" i="2"/>
  <c r="N98" i="4"/>
  <c r="Q98" i="4" s="1"/>
  <c r="W67" i="2"/>
  <c r="W151" i="2"/>
  <c r="W181" i="2"/>
  <c r="N24" i="4"/>
  <c r="Q24" i="4" s="1"/>
  <c r="W45" i="2"/>
  <c r="W113" i="2"/>
  <c r="W124" i="2"/>
  <c r="W173" i="2"/>
  <c r="N141" i="4"/>
  <c r="Q141" i="4" s="1"/>
  <c r="W187" i="2"/>
  <c r="N19" i="4"/>
  <c r="Q19" i="4" s="1"/>
  <c r="S35" i="4"/>
  <c r="T35" i="4" s="1"/>
  <c r="V35" i="4" s="1"/>
  <c r="N73" i="4"/>
  <c r="Q73" i="4" s="1"/>
  <c r="T73" i="4" s="1"/>
  <c r="V73" i="4" s="1"/>
  <c r="W2" i="2"/>
  <c r="W53" i="2"/>
  <c r="W13" i="2"/>
  <c r="W37" i="2"/>
  <c r="W5" i="2"/>
  <c r="W21" i="2"/>
  <c r="W29" i="2"/>
  <c r="N94" i="4"/>
  <c r="Q94" i="4" s="1"/>
  <c r="W51" i="2"/>
  <c r="W56" i="2"/>
  <c r="W86" i="2"/>
  <c r="N81" i="4"/>
  <c r="Q81" i="4" s="1"/>
  <c r="W179" i="2"/>
  <c r="W48" i="2"/>
  <c r="W97" i="2"/>
  <c r="W108" i="2"/>
  <c r="W146" i="2"/>
  <c r="W157" i="2"/>
  <c r="N97" i="4"/>
  <c r="Q97" i="4" s="1"/>
  <c r="W171" i="2"/>
  <c r="N21" i="4"/>
  <c r="Q21" i="4" s="1"/>
  <c r="N26" i="4"/>
  <c r="Q26" i="4" s="1"/>
  <c r="N31" i="4"/>
  <c r="Q31" i="4" s="1"/>
  <c r="N45" i="4"/>
  <c r="Q45" i="4" s="1"/>
  <c r="S66" i="4"/>
  <c r="S68" i="4"/>
  <c r="T68" i="4" s="1"/>
  <c r="V68" i="4" s="1"/>
  <c r="N58" i="4"/>
  <c r="Q58" i="4" s="1"/>
  <c r="W163" i="2"/>
  <c r="N143" i="4"/>
  <c r="Q143" i="4" s="1"/>
  <c r="W62" i="2"/>
  <c r="W81" i="2"/>
  <c r="W92" i="2"/>
  <c r="W111" i="2"/>
  <c r="W130" i="2"/>
  <c r="W141" i="2"/>
  <c r="N163" i="4"/>
  <c r="Q163" i="4" s="1"/>
  <c r="W155" i="2"/>
  <c r="W190" i="2"/>
  <c r="N12" i="4"/>
  <c r="Q12" i="4" s="1"/>
  <c r="N88" i="4"/>
  <c r="Q88" i="4" s="1"/>
  <c r="W147" i="2"/>
  <c r="W95" i="2"/>
  <c r="W125" i="2"/>
  <c r="W174" i="2"/>
  <c r="N23" i="4"/>
  <c r="Q23" i="4" s="1"/>
  <c r="N107" i="4"/>
  <c r="Q107" i="4" s="1"/>
  <c r="W22" i="2"/>
  <c r="W38" i="2"/>
  <c r="W57" i="2"/>
  <c r="W68" i="2"/>
  <c r="W131" i="2"/>
  <c r="N33" i="4"/>
  <c r="Q33" i="4" s="1"/>
  <c r="W166" i="2"/>
  <c r="N14" i="4"/>
  <c r="Q14" i="4" s="1"/>
  <c r="T109" i="4"/>
  <c r="V109" i="4" s="1"/>
  <c r="W109" i="2"/>
  <c r="N108" i="4"/>
  <c r="Q108" i="4" s="1"/>
  <c r="W123" i="2"/>
  <c r="W128" i="2"/>
  <c r="W177" i="2"/>
  <c r="N30" i="4"/>
  <c r="Q30" i="4" s="1"/>
  <c r="T30" i="4" s="1"/>
  <c r="V30" i="4" s="1"/>
  <c r="S34" i="4"/>
  <c r="S36" i="4"/>
  <c r="S46" i="4"/>
  <c r="S48" i="4"/>
  <c r="S59" i="4"/>
  <c r="T59" i="4" s="1"/>
  <c r="V59" i="4" s="1"/>
  <c r="W91" i="2"/>
  <c r="N61" i="4"/>
  <c r="Q61" i="4" s="1"/>
  <c r="W12" i="2"/>
  <c r="W20" i="2"/>
  <c r="W36" i="2"/>
  <c r="W74" i="2"/>
  <c r="N125" i="4"/>
  <c r="Q125" i="4" s="1"/>
  <c r="W99" i="2"/>
  <c r="S50" i="4"/>
  <c r="T50" i="4" s="1"/>
  <c r="V50" i="4" s="1"/>
  <c r="S78" i="4"/>
  <c r="N75" i="4"/>
  <c r="Q75" i="4" s="1"/>
  <c r="N155" i="4"/>
  <c r="Q155" i="4" s="1"/>
  <c r="W75" i="2"/>
  <c r="N29" i="4"/>
  <c r="Q29" i="4" s="1"/>
  <c r="S40" i="4"/>
  <c r="S111" i="4"/>
  <c r="S131" i="4"/>
  <c r="S143" i="4"/>
  <c r="S159" i="4"/>
  <c r="T159" i="4" s="1"/>
  <c r="V159" i="4" s="1"/>
  <c r="S115" i="4"/>
  <c r="S121" i="4"/>
  <c r="S153" i="4"/>
  <c r="S133" i="4"/>
  <c r="T133" i="4" s="1"/>
  <c r="V133" i="4" s="1"/>
  <c r="S89" i="4"/>
  <c r="S99" i="4"/>
  <c r="T99" i="4" s="1"/>
  <c r="V99" i="4" s="1"/>
  <c r="S55" i="4"/>
  <c r="T55" i="4" s="1"/>
  <c r="V55" i="4" s="1"/>
  <c r="S95" i="4"/>
  <c r="S105" i="4"/>
  <c r="T38" i="4" l="1"/>
  <c r="V38" i="4" s="1"/>
  <c r="T144" i="4"/>
  <c r="V144" i="4" s="1"/>
  <c r="T53" i="4"/>
  <c r="V53" i="4" s="1"/>
  <c r="T161" i="4"/>
  <c r="V161" i="4" s="1"/>
  <c r="T95" i="4"/>
  <c r="V95" i="4" s="1"/>
  <c r="T131" i="4"/>
  <c r="V131" i="4" s="1"/>
  <c r="T29" i="4"/>
  <c r="V29" i="4" s="1"/>
  <c r="T8" i="4"/>
  <c r="V8" i="4" s="1"/>
  <c r="T129" i="4"/>
  <c r="V129" i="4" s="1"/>
  <c r="T79" i="4"/>
  <c r="V79" i="4" s="1"/>
  <c r="T31" i="4"/>
  <c r="V31" i="4" s="1"/>
  <c r="T128" i="4"/>
  <c r="V128" i="4" s="1"/>
  <c r="T11" i="4"/>
  <c r="V11" i="4" s="1"/>
  <c r="T150" i="4"/>
  <c r="V150" i="4" s="1"/>
  <c r="T105" i="4"/>
  <c r="V105" i="4" s="1"/>
  <c r="T155" i="4"/>
  <c r="V155" i="4" s="1"/>
  <c r="T123" i="4"/>
  <c r="V123" i="4" s="1"/>
  <c r="T118" i="4"/>
  <c r="V118" i="4" s="1"/>
  <c r="T156" i="4"/>
  <c r="V156" i="4" s="1"/>
  <c r="T151" i="4"/>
  <c r="V151" i="4" s="1"/>
  <c r="T101" i="4"/>
  <c r="V101" i="4" s="1"/>
  <c r="T94" i="4"/>
  <c r="V94" i="4" s="1"/>
  <c r="T4" i="4"/>
  <c r="V4" i="4" s="1"/>
  <c r="T126" i="4"/>
  <c r="V126" i="4" s="1"/>
  <c r="T14" i="4"/>
  <c r="V14" i="4" s="1"/>
  <c r="T111" i="4"/>
  <c r="V111" i="4" s="1"/>
  <c r="T63" i="4"/>
  <c r="V63" i="4" s="1"/>
  <c r="T49" i="4"/>
  <c r="V49" i="4" s="1"/>
  <c r="T157" i="4"/>
  <c r="V157" i="4" s="1"/>
  <c r="D34" i="5" s="1"/>
  <c r="E34" i="5" s="1"/>
  <c r="T16" i="4"/>
  <c r="V16" i="4" s="1"/>
  <c r="T23" i="4"/>
  <c r="V23" i="4" s="1"/>
  <c r="T56" i="4"/>
  <c r="V56" i="4" s="1"/>
  <c r="T10" i="4"/>
  <c r="V10" i="4" s="1"/>
  <c r="T103" i="4"/>
  <c r="V103" i="4" s="1"/>
  <c r="T51" i="4"/>
  <c r="V51" i="4" s="1"/>
  <c r="T115" i="4"/>
  <c r="V115" i="4" s="1"/>
  <c r="T120" i="4"/>
  <c r="V120" i="4" s="1"/>
  <c r="T149" i="4"/>
  <c r="V149" i="4" s="1"/>
  <c r="T46" i="4"/>
  <c r="V46" i="4" s="1"/>
  <c r="T141" i="4"/>
  <c r="V141" i="4" s="1"/>
  <c r="T135" i="4"/>
  <c r="V135" i="4" s="1"/>
  <c r="T86" i="4"/>
  <c r="V86" i="4" s="1"/>
  <c r="T93" i="4"/>
  <c r="V93" i="4" s="1"/>
  <c r="T28" i="4"/>
  <c r="V28" i="4" s="1"/>
  <c r="T61" i="4"/>
  <c r="V61" i="4" s="1"/>
  <c r="T84" i="4"/>
  <c r="V84" i="4" s="1"/>
  <c r="T83" i="4"/>
  <c r="V83" i="4" s="1"/>
  <c r="T39" i="4"/>
  <c r="V39" i="4" s="1"/>
  <c r="T145" i="4"/>
  <c r="V145" i="4" s="1"/>
  <c r="T25" i="4"/>
  <c r="V25" i="4" s="1"/>
  <c r="T60" i="4"/>
  <c r="V60" i="4" s="1"/>
  <c r="T114" i="4"/>
  <c r="V114" i="4" s="1"/>
  <c r="T89" i="4"/>
  <c r="V89" i="4" s="1"/>
  <c r="T153" i="4"/>
  <c r="V153" i="4" s="1"/>
  <c r="T121" i="4"/>
  <c r="V121" i="4" s="1"/>
  <c r="T15" i="4"/>
  <c r="V15" i="4" s="1"/>
  <c r="AC4" i="2" a="1"/>
  <c r="AC4" i="2" s="1"/>
  <c r="T134" i="4"/>
  <c r="V134" i="4" s="1"/>
  <c r="T138" i="4"/>
  <c r="V138" i="4" s="1"/>
  <c r="T21" i="4"/>
  <c r="V21" i="4" s="1"/>
  <c r="T74" i="4"/>
  <c r="V74" i="4" s="1"/>
  <c r="T48" i="4"/>
  <c r="V48" i="4" s="1"/>
  <c r="T36" i="4"/>
  <c r="V36" i="4" s="1"/>
  <c r="T80" i="4"/>
  <c r="V80" i="4" s="1"/>
  <c r="T34" i="4"/>
  <c r="V34" i="4" s="1"/>
  <c r="T19" i="4"/>
  <c r="V19" i="4" s="1"/>
  <c r="T78" i="4"/>
  <c r="V78" i="4" s="1"/>
  <c r="T85" i="4"/>
  <c r="V85" i="4" s="1"/>
  <c r="T104" i="4"/>
  <c r="V104" i="4" s="1"/>
  <c r="T3" i="4"/>
  <c r="V3" i="4" s="1"/>
  <c r="T66" i="4"/>
  <c r="V66" i="4" s="1"/>
  <c r="T40" i="4"/>
  <c r="V40" i="4" s="1"/>
  <c r="T130" i="4"/>
  <c r="V130" i="4" s="1"/>
  <c r="T106" i="4"/>
  <c r="V106" i="4" s="1"/>
  <c r="T43" i="4"/>
  <c r="V43" i="4" s="1"/>
  <c r="T9" i="4"/>
  <c r="V9" i="4" s="1"/>
  <c r="T81" i="4"/>
  <c r="V81" i="4" s="1"/>
  <c r="T116" i="4"/>
  <c r="V116" i="4" s="1"/>
  <c r="T65" i="4"/>
  <c r="V65" i="4" s="1"/>
  <c r="T24" i="4"/>
  <c r="V24" i="4" s="1"/>
  <c r="T163" i="4"/>
  <c r="V163" i="4" s="1"/>
  <c r="T98" i="4"/>
  <c r="V98" i="4" s="1"/>
  <c r="T88" i="4"/>
  <c r="V88" i="4" s="1"/>
  <c r="T75" i="4"/>
  <c r="V75" i="4" s="1"/>
  <c r="T58" i="4"/>
  <c r="V58" i="4" s="1"/>
  <c r="T45" i="4"/>
  <c r="V45" i="4" s="1"/>
  <c r="T26" i="4"/>
  <c r="V26" i="4" s="1"/>
  <c r="T108" i="4"/>
  <c r="V108" i="4" s="1"/>
  <c r="T125" i="4"/>
  <c r="V125" i="4" s="1"/>
  <c r="T33" i="4"/>
  <c r="V33" i="4" s="1"/>
  <c r="T143" i="4"/>
  <c r="V143" i="4" s="1"/>
  <c r="C34" i="5" l="1"/>
  <c r="H157" i="3"/>
  <c r="H158" i="3"/>
  <c r="H159" i="3"/>
  <c r="H161" i="3"/>
  <c r="H160" i="3"/>
  <c r="K2" i="4"/>
  <c r="H3" i="3"/>
  <c r="H5" i="3"/>
  <c r="H2" i="3"/>
  <c r="H6" i="3"/>
  <c r="H4" i="3"/>
  <c r="M162" i="4"/>
  <c r="S162" i="4" s="1"/>
  <c r="T162" i="4" s="1"/>
  <c r="M2" i="4" l="1"/>
  <c r="S2" i="4" s="1"/>
  <c r="T2" i="4" s="1"/>
  <c r="C35" i="5"/>
  <c r="V162" i="4"/>
  <c r="D35" i="5" s="1"/>
  <c r="E35" i="5" s="1"/>
  <c r="K22" i="4"/>
  <c r="M22" i="4" s="1"/>
  <c r="S22" i="4" s="1"/>
  <c r="T22" i="4" s="1"/>
  <c r="C7" i="5" s="1"/>
  <c r="K67" i="4"/>
  <c r="M67" i="4" s="1"/>
  <c r="S67" i="4" s="1"/>
  <c r="T67" i="4" s="1"/>
  <c r="C16" i="5" s="1"/>
  <c r="K117" i="4"/>
  <c r="M117" i="4" s="1"/>
  <c r="S117" i="4" s="1"/>
  <c r="T117" i="4" s="1"/>
  <c r="H27" i="3"/>
  <c r="H29" i="3"/>
  <c r="H30" i="3"/>
  <c r="H31" i="3"/>
  <c r="H28" i="3"/>
  <c r="H140" i="3"/>
  <c r="H137" i="3"/>
  <c r="H139" i="3"/>
  <c r="H138" i="3"/>
  <c r="H141" i="3"/>
  <c r="H56" i="3"/>
  <c r="H54" i="3"/>
  <c r="H55" i="3"/>
  <c r="H52" i="3"/>
  <c r="H53" i="3"/>
  <c r="K17" i="4"/>
  <c r="M17" i="4" s="1"/>
  <c r="S17" i="4" s="1"/>
  <c r="T17" i="4" s="1"/>
  <c r="C6" i="5" s="1"/>
  <c r="K72" i="4"/>
  <c r="M72" i="4" s="1"/>
  <c r="S72" i="4" s="1"/>
  <c r="T72" i="4" s="1"/>
  <c r="K132" i="4"/>
  <c r="M132" i="4" s="1"/>
  <c r="S132" i="4" s="1"/>
  <c r="T132" i="4" s="1"/>
  <c r="K142" i="4"/>
  <c r="M142" i="4" s="1"/>
  <c r="S142" i="4" s="1"/>
  <c r="T142" i="4" s="1"/>
  <c r="K112" i="4"/>
  <c r="M112" i="4" s="1"/>
  <c r="S112" i="4" s="1"/>
  <c r="T112" i="4" s="1"/>
  <c r="K57" i="4"/>
  <c r="M57" i="4" s="1"/>
  <c r="S57" i="4" s="1"/>
  <c r="T57" i="4" s="1"/>
  <c r="K122" i="4"/>
  <c r="M122" i="4" s="1"/>
  <c r="S122" i="4" s="1"/>
  <c r="T122" i="4" s="1"/>
  <c r="V122" i="4" s="1"/>
  <c r="D27" i="5" s="1"/>
  <c r="E27" i="5" s="1"/>
  <c r="K97" i="4"/>
  <c r="M97" i="4" s="1"/>
  <c r="S97" i="4" s="1"/>
  <c r="T97" i="4" s="1"/>
  <c r="H34" i="3"/>
  <c r="H33" i="3"/>
  <c r="H35" i="3"/>
  <c r="H36" i="3"/>
  <c r="H32" i="3"/>
  <c r="K62" i="4"/>
  <c r="M62" i="4" s="1"/>
  <c r="S62" i="4" s="1"/>
  <c r="T62" i="4" s="1"/>
  <c r="K127" i="4"/>
  <c r="M127" i="4" s="1"/>
  <c r="S127" i="4" s="1"/>
  <c r="T127" i="4" s="1"/>
  <c r="K137" i="4"/>
  <c r="M137" i="4" s="1"/>
  <c r="S137" i="4" s="1"/>
  <c r="T137" i="4" s="1"/>
  <c r="H74" i="3"/>
  <c r="H72" i="3"/>
  <c r="H75" i="3"/>
  <c r="H73" i="3"/>
  <c r="H76" i="3"/>
  <c r="K92" i="4"/>
  <c r="M92" i="4" s="1"/>
  <c r="S92" i="4" s="1"/>
  <c r="T92" i="4" s="1"/>
  <c r="K7" i="4"/>
  <c r="M7" i="4" s="1"/>
  <c r="S7" i="4" s="1"/>
  <c r="T7" i="4" s="1"/>
  <c r="C4" i="5" s="1"/>
  <c r="H151" i="3"/>
  <c r="H149" i="3"/>
  <c r="H150" i="3"/>
  <c r="H147" i="3"/>
  <c r="H148" i="3"/>
  <c r="K87" i="4"/>
  <c r="M87" i="4" s="1"/>
  <c r="S87" i="4" s="1"/>
  <c r="T87" i="4" s="1"/>
  <c r="H114" i="3"/>
  <c r="H115" i="3"/>
  <c r="H113" i="3"/>
  <c r="H112" i="3"/>
  <c r="H116" i="3"/>
  <c r="K82" i="4"/>
  <c r="M82" i="4" s="1"/>
  <c r="S82" i="4" s="1"/>
  <c r="T82" i="4" s="1"/>
  <c r="K107" i="4"/>
  <c r="M107" i="4" s="1"/>
  <c r="S107" i="4" s="1"/>
  <c r="T107" i="4" s="1"/>
  <c r="C24" i="5" s="1"/>
  <c r="K32" i="4"/>
  <c r="M32" i="4" s="1"/>
  <c r="S32" i="4" s="1"/>
  <c r="T32" i="4" s="1"/>
  <c r="V32" i="4" s="1"/>
  <c r="D9" i="5" s="1"/>
  <c r="E9" i="5" s="1"/>
  <c r="H61" i="3"/>
  <c r="H58" i="3"/>
  <c r="H57" i="3"/>
  <c r="H59" i="3"/>
  <c r="H60" i="3"/>
  <c r="H90" i="3"/>
  <c r="H91" i="3"/>
  <c r="H88" i="3"/>
  <c r="H89" i="3"/>
  <c r="H87" i="3"/>
  <c r="H108" i="3"/>
  <c r="H110" i="3"/>
  <c r="H107" i="3"/>
  <c r="H111" i="3"/>
  <c r="H109" i="3"/>
  <c r="H97" i="3"/>
  <c r="H98" i="3"/>
  <c r="H99" i="3"/>
  <c r="H100" i="3"/>
  <c r="H101" i="3"/>
  <c r="K77" i="4"/>
  <c r="M77" i="4" s="1"/>
  <c r="S77" i="4" s="1"/>
  <c r="T77" i="4" s="1"/>
  <c r="H85" i="3"/>
  <c r="H84" i="3"/>
  <c r="H82" i="3"/>
  <c r="H86" i="3"/>
  <c r="H83" i="3"/>
  <c r="K47" i="4"/>
  <c r="M47" i="4" s="1"/>
  <c r="S47" i="4" s="1"/>
  <c r="T47" i="4" s="1"/>
  <c r="H65" i="3"/>
  <c r="H62" i="3"/>
  <c r="H63" i="3"/>
  <c r="H64" i="3"/>
  <c r="H66" i="3"/>
  <c r="K102" i="4"/>
  <c r="M102" i="4" s="1"/>
  <c r="S102" i="4" s="1"/>
  <c r="T102" i="4" s="1"/>
  <c r="H142" i="3"/>
  <c r="H146" i="3"/>
  <c r="H145" i="3"/>
  <c r="H144" i="3"/>
  <c r="H143" i="3"/>
  <c r="H48" i="3"/>
  <c r="H51" i="3"/>
  <c r="H50" i="3"/>
  <c r="H49" i="3"/>
  <c r="H47" i="3"/>
  <c r="H124" i="3"/>
  <c r="H126" i="3"/>
  <c r="H125" i="3"/>
  <c r="H123" i="3"/>
  <c r="H122" i="3"/>
  <c r="H128" i="3"/>
  <c r="H131" i="3"/>
  <c r="H129" i="3"/>
  <c r="H130" i="3"/>
  <c r="H127" i="3"/>
  <c r="H23" i="3"/>
  <c r="H26" i="3"/>
  <c r="H22" i="3"/>
  <c r="H24" i="3"/>
  <c r="H25" i="3"/>
  <c r="K152" i="4"/>
  <c r="M152" i="4" s="1"/>
  <c r="S152" i="4" s="1"/>
  <c r="T152" i="4" s="1"/>
  <c r="H92" i="3"/>
  <c r="H94" i="3"/>
  <c r="H96" i="3"/>
  <c r="H93" i="3"/>
  <c r="H95" i="3"/>
  <c r="K27" i="4"/>
  <c r="M27" i="4" s="1"/>
  <c r="H41" i="3"/>
  <c r="H38" i="3"/>
  <c r="H40" i="3"/>
  <c r="H37" i="3"/>
  <c r="H39" i="3"/>
  <c r="H46" i="3"/>
  <c r="H42" i="3"/>
  <c r="H44" i="3"/>
  <c r="H45" i="3"/>
  <c r="H43" i="3"/>
  <c r="H7" i="3"/>
  <c r="H11" i="3"/>
  <c r="H10" i="3"/>
  <c r="H9" i="3"/>
  <c r="H8" i="3"/>
  <c r="H119" i="3"/>
  <c r="H118" i="3"/>
  <c r="H120" i="3"/>
  <c r="H117" i="3"/>
  <c r="H121" i="3"/>
  <c r="H18" i="3"/>
  <c r="H19" i="3"/>
  <c r="H21" i="3"/>
  <c r="H20" i="3"/>
  <c r="H17" i="3"/>
  <c r="H80" i="3"/>
  <c r="H78" i="3"/>
  <c r="H81" i="3"/>
  <c r="H79" i="3"/>
  <c r="H77" i="3"/>
  <c r="K42" i="4"/>
  <c r="M42" i="4"/>
  <c r="S42" i="4" s="1"/>
  <c r="T42" i="4" s="1"/>
  <c r="H12" i="3"/>
  <c r="H13" i="3"/>
  <c r="H16" i="3"/>
  <c r="H14" i="3"/>
  <c r="H15" i="3"/>
  <c r="H106" i="3"/>
  <c r="H104" i="3"/>
  <c r="H105" i="3"/>
  <c r="H102" i="3"/>
  <c r="H103" i="3"/>
  <c r="H153" i="3"/>
  <c r="H154" i="3"/>
  <c r="H156" i="3"/>
  <c r="H155" i="3"/>
  <c r="H152" i="3"/>
  <c r="H67" i="3"/>
  <c r="H70" i="3"/>
  <c r="H68" i="3"/>
  <c r="H71" i="3"/>
  <c r="H69" i="3"/>
  <c r="H135" i="3"/>
  <c r="H132" i="3"/>
  <c r="H133" i="3"/>
  <c r="H136" i="3"/>
  <c r="H134" i="3"/>
  <c r="K52" i="4"/>
  <c r="M52" i="4" s="1"/>
  <c r="S52" i="4" s="1"/>
  <c r="T52" i="4" s="1"/>
  <c r="K147" i="4"/>
  <c r="M147" i="4" s="1"/>
  <c r="S147" i="4" s="1"/>
  <c r="T147" i="4" s="1"/>
  <c r="K37" i="4"/>
  <c r="M37" i="4" s="1"/>
  <c r="S37" i="4" s="1"/>
  <c r="T37" i="4" s="1"/>
  <c r="K12" i="4"/>
  <c r="M12" i="4" s="1"/>
  <c r="S12" i="4" s="1"/>
  <c r="T12" i="4" s="1"/>
  <c r="V2" i="4" l="1"/>
  <c r="D3" i="5" s="1"/>
  <c r="E3" i="5" s="1"/>
  <c r="C3" i="5"/>
  <c r="C30" i="5"/>
  <c r="V137" i="4"/>
  <c r="D30" i="5" s="1"/>
  <c r="E30" i="5" s="1"/>
  <c r="V37" i="4"/>
  <c r="D10" i="5" s="1"/>
  <c r="E10" i="5" s="1"/>
  <c r="C10" i="5"/>
  <c r="C18" i="5"/>
  <c r="V77" i="4"/>
  <c r="D18" i="5" s="1"/>
  <c r="E18" i="5" s="1"/>
  <c r="V87" i="4"/>
  <c r="D20" i="5" s="1"/>
  <c r="E20" i="5" s="1"/>
  <c r="C20" i="5"/>
  <c r="C29" i="5"/>
  <c r="V132" i="4"/>
  <c r="D29" i="5" s="1"/>
  <c r="E29" i="5" s="1"/>
  <c r="C22" i="5"/>
  <c r="V97" i="4"/>
  <c r="D22" i="5" s="1"/>
  <c r="E22" i="5" s="1"/>
  <c r="V127" i="4"/>
  <c r="D28" i="5" s="1"/>
  <c r="E28" i="5" s="1"/>
  <c r="C28" i="5"/>
  <c r="C14" i="5"/>
  <c r="V57" i="4"/>
  <c r="D14" i="5" s="1"/>
  <c r="E14" i="5" s="1"/>
  <c r="C33" i="5"/>
  <c r="V152" i="4"/>
  <c r="D33" i="5" s="1"/>
  <c r="E33" i="5" s="1"/>
  <c r="C17" i="5"/>
  <c r="V72" i="4"/>
  <c r="D17" i="5" s="1"/>
  <c r="E17" i="5" s="1"/>
  <c r="V47" i="4"/>
  <c r="D12" i="5" s="1"/>
  <c r="E12" i="5" s="1"/>
  <c r="C12" i="5"/>
  <c r="C26" i="5"/>
  <c r="V117" i="4"/>
  <c r="D26" i="5" s="1"/>
  <c r="E26" i="5" s="1"/>
  <c r="C19" i="5"/>
  <c r="V82" i="4"/>
  <c r="D19" i="5" s="1"/>
  <c r="E19" i="5" s="1"/>
  <c r="C5" i="5"/>
  <c r="V12" i="4"/>
  <c r="D5" i="5" s="1"/>
  <c r="E5" i="5" s="1"/>
  <c r="V62" i="4"/>
  <c r="D15" i="5" s="1"/>
  <c r="E15" i="5" s="1"/>
  <c r="C15" i="5"/>
  <c r="V112" i="4"/>
  <c r="D25" i="5" s="1"/>
  <c r="E25" i="5" s="1"/>
  <c r="C25" i="5"/>
  <c r="C11" i="5"/>
  <c r="V42" i="4"/>
  <c r="D11" i="5" s="1"/>
  <c r="E11" i="5" s="1"/>
  <c r="S27" i="4"/>
  <c r="T27" i="4" s="1"/>
  <c r="AA6" i="4" a="1"/>
  <c r="AA6" i="4" s="1"/>
  <c r="C23" i="5"/>
  <c r="V102" i="4"/>
  <c r="D23" i="5" s="1"/>
  <c r="E23" i="5" s="1"/>
  <c r="C21" i="5"/>
  <c r="V92" i="4"/>
  <c r="D21" i="5" s="1"/>
  <c r="E21" i="5" s="1"/>
  <c r="C31" i="5"/>
  <c r="V142" i="4"/>
  <c r="D31" i="5" s="1"/>
  <c r="E31" i="5" s="1"/>
  <c r="V147" i="4"/>
  <c r="D32" i="5" s="1"/>
  <c r="E32" i="5" s="1"/>
  <c r="C32" i="5"/>
  <c r="V52" i="4"/>
  <c r="D13" i="5" s="1"/>
  <c r="E13" i="5" s="1"/>
  <c r="C13" i="5"/>
  <c r="C9" i="5"/>
  <c r="V7" i="4"/>
  <c r="D4" i="5" s="1"/>
  <c r="E4" i="5" s="1"/>
  <c r="V107" i="4"/>
  <c r="D24" i="5" s="1"/>
  <c r="E24" i="5" s="1"/>
  <c r="V67" i="4"/>
  <c r="D16" i="5" s="1"/>
  <c r="E16" i="5" s="1"/>
  <c r="C27" i="5"/>
  <c r="V22" i="4"/>
  <c r="D7" i="5" s="1"/>
  <c r="E7" i="5" s="1"/>
  <c r="V17" i="4"/>
  <c r="D6" i="5" s="1"/>
  <c r="E6" i="5" s="1"/>
  <c r="V27" i="4" l="1"/>
  <c r="D8" i="5" s="1"/>
  <c r="E8" i="5" s="1"/>
  <c r="C8" i="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<sst xmlns="http://schemas.openxmlformats.org/spreadsheetml/2006/main" count="4240" uniqueCount="1432">
  <si>
    <t>Student ID</t>
  </si>
  <si>
    <t>نظام حساب المعدل النهائي - SFE / LMS Grades Model</t>
  </si>
  <si>
    <t>Student Name</t>
  </si>
  <si>
    <t>Seat Number</t>
  </si>
  <si>
    <t>Academic Level</t>
  </si>
  <si>
    <t>Program</t>
  </si>
  <si>
    <t>Official Email</t>
  </si>
  <si>
    <t>Personal Email</t>
  </si>
  <si>
    <t>Phone</t>
  </si>
  <si>
    <t>Assigned Supporter (TA)</t>
  </si>
  <si>
    <t>الأوزان والمكونات</t>
  </si>
  <si>
    <t>Task 1</t>
  </si>
  <si>
    <t>Task 2</t>
  </si>
  <si>
    <t>Task 3</t>
  </si>
  <si>
    <t>المكون</t>
  </si>
  <si>
    <t>Total Tasks Score</t>
  </si>
  <si>
    <t>Bonus Points</t>
  </si>
  <si>
    <t>Session 1</t>
  </si>
  <si>
    <t>Session 2</t>
  </si>
  <si>
    <t>الوزن</t>
  </si>
  <si>
    <t>Session 3</t>
  </si>
  <si>
    <t>Session 4</t>
  </si>
  <si>
    <t>الدرجة الكلية</t>
  </si>
  <si>
    <t>Session 5</t>
  </si>
  <si>
    <t>ملاحظات</t>
  </si>
  <si>
    <t>Session 6</t>
  </si>
  <si>
    <t>التاسكات (Tasks)</t>
  </si>
  <si>
    <t>Attended Sessions</t>
  </si>
  <si>
    <t>Team</t>
  </si>
  <si>
    <t>Attendance Rate (%)</t>
  </si>
  <si>
    <t>Total Score (Tasks + Bonus)</t>
  </si>
  <si>
    <t>20%</t>
  </si>
  <si>
    <t>Final Rank Score</t>
  </si>
  <si>
    <t>Attended Count</t>
  </si>
  <si>
    <t>Total Sessions</t>
  </si>
  <si>
    <t>20251700588</t>
  </si>
  <si>
    <t>فيرونيكا امير رفعت جاد</t>
  </si>
  <si>
    <t>No.</t>
  </si>
  <si>
    <t>135</t>
  </si>
  <si>
    <t>Level 1</t>
  </si>
  <si>
    <t>مجموع Task1 + Task2 + Task3</t>
  </si>
  <si>
    <t>Individual Score
(max 40)</t>
  </si>
  <si>
    <t>الحضور (Attendance)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</si>
  <si>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</si>
  <si>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30%</t>
  </si>
  <si>
    <t>Full Project Score
(max 80)</t>
  </si>
  <si>
    <t>sessions × 20</t>
  </si>
  <si>
    <t>Project Bonus
(max 25)</t>
  </si>
  <si>
    <t>20251700588@cis.asu.edu.eg</t>
  </si>
  <si>
    <t>Total Project Score
(max 145)</t>
  </si>
  <si>
    <t>عدد الحاضر × 20   (كل سيشن = 20)</t>
  </si>
  <si>
    <t>veroamir8@gmail.com</t>
  </si>
  <si>
    <t>01016779505</t>
  </si>
  <si>
    <t>رامز مجدي صبحي غالي</t>
  </si>
  <si>
    <t>team 1</t>
  </si>
  <si>
    <t>البروجيكت (Project)</t>
  </si>
  <si>
    <t>50%</t>
  </si>
  <si>
    <t>Mobile Number</t>
  </si>
  <si>
    <t>145</t>
  </si>
  <si>
    <t>University Email</t>
  </si>
  <si>
    <t>فردي 40 + جماعي 80 + بونص 25</t>
  </si>
  <si>
    <t>Supporter</t>
  </si>
  <si>
    <t>شروط النجاح</t>
  </si>
  <si>
    <t>Tasks Score
(max 135)</t>
  </si>
  <si>
    <r>
      <rPr>
        <sz val="11"/>
        <color theme="1"/>
        <rFont val="Calibri"/>
      </rPr>
      <t xml:space="preserve">1. </t>
    </r>
    <r>
      <rPr>
        <sz val="11"/>
        <color theme="1"/>
        <rFont val="Noto Sans"/>
      </rPr>
      <t xml:space="preserve">نسبة الحضور ≥ </t>
    </r>
    <r>
      <rPr>
        <sz val="11"/>
        <color theme="1"/>
        <rFont val="Calibri"/>
      </rPr>
      <t>60% (</t>
    </r>
    <r>
      <rPr>
        <sz val="11"/>
        <color theme="1"/>
        <rFont val="Noto Sans"/>
      </rPr>
      <t xml:space="preserve">يحصل على الساعتين فقط إذا تجاوز الحضور </t>
    </r>
    <r>
      <rPr>
        <sz val="11"/>
        <color theme="1"/>
        <rFont val="Calibri"/>
      </rPr>
      <t>60%)</t>
    </r>
  </si>
  <si>
    <t>رنا صبحي متولي</t>
  </si>
  <si>
    <t>Attendance Score
(out of sessions×20)</t>
  </si>
  <si>
    <t>20251700271</t>
  </si>
  <si>
    <t>Tasks %</t>
  </si>
  <si>
    <t>Attendance %</t>
  </si>
  <si>
    <r>
      <rPr>
        <sz val="11"/>
        <color theme="1"/>
        <rFont val="Calibri"/>
      </rPr>
      <t xml:space="preserve">2. </t>
    </r>
    <r>
      <rPr>
        <sz val="11"/>
        <color theme="1"/>
        <rFont val="Noto Sans"/>
      </rPr>
      <t xml:space="preserve">المعدل النهائي </t>
    </r>
    <r>
      <rPr>
        <sz val="11"/>
        <color theme="1"/>
        <rFont val="Calibri"/>
      </rPr>
      <t>&gt; 60%</t>
    </r>
  </si>
  <si>
    <t>Project %</t>
  </si>
  <si>
    <t>حالة النجاح = ناجح فقط إذا تحقق الشرطان معاً</t>
  </si>
  <si>
    <t>Final Grade %</t>
  </si>
  <si>
    <t>Attendance ≥60%?</t>
  </si>
  <si>
    <t>Success Status</t>
  </si>
  <si>
    <t>كيفية الاستخدام</t>
  </si>
  <si>
    <r>
      <rPr>
        <sz val="11"/>
        <color theme="1"/>
        <rFont val="Calibri"/>
      </rPr>
      <t xml:space="preserve">1. </t>
    </r>
    <r>
      <rPr>
        <sz val="11"/>
        <color theme="1"/>
        <rFont val="Noto Sans"/>
      </rPr>
      <t xml:space="preserve">في شيت </t>
    </r>
    <r>
      <rPr>
        <sz val="11"/>
        <color theme="1"/>
        <rFont val="Calibri"/>
      </rPr>
      <t xml:space="preserve">Project_Teams: </t>
    </r>
    <r>
      <rPr>
        <sz val="11"/>
        <color theme="1"/>
        <rFont val="Noto Sans"/>
      </rPr>
      <t xml:space="preserve">املأ الأعمدة الصفراء </t>
    </r>
    <r>
      <rPr>
        <sz val="11"/>
        <color theme="1"/>
        <rFont val="Calibri"/>
      </rPr>
      <t xml:space="preserve">(Individual / Full Project / Bonus) </t>
    </r>
    <r>
      <rPr>
        <sz val="11"/>
        <color theme="1"/>
        <rFont val="Noto Sans"/>
      </rPr>
      <t>لكل طالب</t>
    </r>
    <r>
      <rPr>
        <sz val="11"/>
        <color theme="1"/>
        <rFont val="Calibri"/>
      </rPr>
      <t>.</t>
    </r>
  </si>
  <si>
    <r>
      <rPr>
        <sz val="11"/>
        <color theme="1"/>
        <rFont val="Calibri"/>
      </rPr>
      <t xml:space="preserve">2. </t>
    </r>
    <r>
      <rPr>
        <sz val="11"/>
        <color theme="1"/>
        <rFont val="Noto Sans"/>
      </rPr>
      <t xml:space="preserve">درجات التاسكات والحضور تُسحب تلقائياً من شيت </t>
    </r>
    <r>
      <rPr>
        <sz val="11"/>
        <color theme="1"/>
        <rFont val="Calibri"/>
      </rPr>
      <t xml:space="preserve">Source_Grades </t>
    </r>
    <r>
      <rPr>
        <sz val="11"/>
        <color theme="1"/>
        <rFont val="Noto Sans"/>
      </rPr>
      <t xml:space="preserve">باستخدام </t>
    </r>
    <r>
      <rPr>
        <sz val="11"/>
        <color theme="1"/>
        <rFont val="Calibri"/>
      </rPr>
      <t>Student ID.</t>
    </r>
  </si>
  <si>
    <t>حاضر</t>
  </si>
  <si>
    <r>
      <rPr>
        <sz val="11"/>
        <color theme="1"/>
        <rFont val="Calibri"/>
      </rPr>
      <t xml:space="preserve">3. </t>
    </r>
    <r>
      <rPr>
        <sz val="11"/>
        <color theme="1"/>
        <rFont val="Noto Sans"/>
      </rPr>
      <t>جميع النسب والمعدل النهائي وحالة النجاح تُحسب تلقائياً بالصيغ</t>
    </r>
    <r>
      <rPr>
        <sz val="11"/>
        <color theme="1"/>
        <rFont val="Calibri"/>
      </rPr>
      <t>.</t>
    </r>
  </si>
  <si>
    <t>المستوى الأول/ Level 1</t>
  </si>
  <si>
    <t>الحساب أصبح تلقائياً على كل السيشنات المدخلة (1-6). عند إدخال Session 5 أو 6 يتحدث العدد والنسبة تلقائياً حسب عدد السيشنات المملوءة.</t>
  </si>
  <si>
    <t>General (Mainstream) / عام</t>
  </si>
  <si>
    <t>01092850291</t>
  </si>
  <si>
    <t>20251700271@cis.asu.edu.eg</t>
  </si>
  <si>
    <t>لا حاجة لتغيير يدوي: الصيغ تحسب تلقائياً عدد السيشنات المملوءة (COUNTA) ونسبة الحضور منها.</t>
  </si>
  <si>
    <t>Nancy Mohamed</t>
  </si>
  <si>
    <r>
      <rPr>
        <sz val="11"/>
        <color theme="1"/>
        <rFont val="Calibri"/>
      </rPr>
      <t xml:space="preserve">6. </t>
    </r>
    <r>
      <rPr>
        <sz val="11"/>
        <color theme="1"/>
        <rFont val="Noto Sans"/>
      </rPr>
      <t xml:space="preserve">كل تيم مفصول بصرياً بحدود </t>
    </r>
    <r>
      <rPr>
        <sz val="11"/>
        <color theme="1"/>
        <rFont val="Calibri"/>
      </rPr>
      <t>(</t>
    </r>
    <r>
      <rPr>
        <sz val="11"/>
        <color theme="1"/>
        <rFont val="Noto Sans"/>
      </rPr>
      <t>بوكس</t>
    </r>
    <r>
      <rPr>
        <sz val="11"/>
        <color theme="1"/>
        <rFont val="Calibri"/>
      </rPr>
      <t xml:space="preserve">) </t>
    </r>
    <r>
      <rPr>
        <sz val="11"/>
        <color theme="1"/>
        <rFont val="Noto Sans"/>
      </rPr>
      <t xml:space="preserve">في شيت </t>
    </r>
    <r>
      <rPr>
        <sz val="11"/>
        <color theme="1"/>
        <rFont val="Calibri"/>
      </rPr>
      <t xml:space="preserve">Project_Teams </t>
    </r>
    <r>
      <rPr>
        <sz val="11"/>
        <color theme="1"/>
        <rFont val="Noto Sans"/>
      </rPr>
      <t>لتسهيل القراءة</t>
    </r>
    <r>
      <rPr>
        <sz val="11"/>
        <color theme="1"/>
        <rFont val="Calibri"/>
      </rPr>
      <t>.</t>
    </r>
  </si>
  <si>
    <t>ملاحظات تقنية</t>
  </si>
  <si>
    <t>مرام ياسر على السيد</t>
  </si>
  <si>
    <r>
      <rPr>
        <sz val="11"/>
        <color theme="1"/>
        <rFont val="Calibri"/>
      </rPr>
      <t xml:space="preserve">- </t>
    </r>
    <r>
      <rPr>
        <sz val="11"/>
        <color theme="1"/>
        <rFont val="Noto Sans"/>
      </rPr>
      <t xml:space="preserve">الخلايا الصفراء </t>
    </r>
    <r>
      <rPr>
        <sz val="11"/>
        <color theme="1"/>
        <rFont val="Calibri"/>
      </rPr>
      <t xml:space="preserve">= </t>
    </r>
    <r>
      <rPr>
        <sz val="11"/>
        <color theme="1"/>
        <rFont val="Noto Sans"/>
      </rPr>
      <t xml:space="preserve">مدخلات </t>
    </r>
    <r>
      <rPr>
        <sz val="11"/>
        <color theme="1"/>
        <rFont val="Calibri"/>
      </rPr>
      <t xml:space="preserve">(Inputs) </t>
    </r>
    <r>
      <rPr>
        <sz val="11"/>
        <color theme="1"/>
        <rFont val="Noto Sans"/>
      </rPr>
      <t>يجب ملؤها يدوياً</t>
    </r>
  </si>
  <si>
    <t>20251700766</t>
  </si>
  <si>
    <r>
      <rPr>
        <sz val="11"/>
        <color theme="1"/>
        <rFont val="Calibri"/>
      </rPr>
      <t xml:space="preserve">- </t>
    </r>
    <r>
      <rPr>
        <sz val="11"/>
        <color theme="1"/>
        <rFont val="Noto Sans"/>
      </rPr>
      <t xml:space="preserve">الخلايا الزرقاء الفاتحة </t>
    </r>
    <r>
      <rPr>
        <sz val="11"/>
        <color theme="1"/>
        <rFont val="Calibri"/>
      </rPr>
      <t xml:space="preserve">= </t>
    </r>
    <r>
      <rPr>
        <sz val="11"/>
        <color theme="1"/>
        <rFont val="Noto Sans"/>
      </rPr>
      <t xml:space="preserve">بيانات مستخرجة </t>
    </r>
    <r>
      <rPr>
        <sz val="11"/>
        <color theme="1"/>
        <rFont val="Calibri"/>
      </rPr>
      <t xml:space="preserve">(Lookups) </t>
    </r>
    <r>
      <rPr>
        <sz val="11"/>
        <color theme="1"/>
        <rFont val="Noto Sans"/>
      </rPr>
      <t xml:space="preserve">من </t>
    </r>
    <r>
      <rPr>
        <sz val="11"/>
        <color theme="1"/>
        <rFont val="Calibri"/>
      </rPr>
      <t>Source_Grades</t>
    </r>
  </si>
  <si>
    <r>
      <rPr>
        <sz val="11"/>
        <color theme="1"/>
        <rFont val="Calibri"/>
      </rPr>
      <t xml:space="preserve">- </t>
    </r>
    <r>
      <rPr>
        <sz val="11"/>
        <color theme="1"/>
        <rFont val="Noto Sans"/>
      </rPr>
      <t xml:space="preserve">الخلايا الخضراء </t>
    </r>
    <r>
      <rPr>
        <sz val="11"/>
        <color theme="1"/>
        <rFont val="Calibri"/>
      </rPr>
      <t xml:space="preserve">= </t>
    </r>
    <r>
      <rPr>
        <sz val="11"/>
        <color theme="1"/>
        <rFont val="Noto Sans"/>
      </rPr>
      <t xml:space="preserve">حسابات آلية </t>
    </r>
    <r>
      <rPr>
        <sz val="11"/>
        <color theme="1"/>
        <rFont val="Calibri"/>
      </rPr>
      <t>(Formulas)</t>
    </r>
  </si>
  <si>
    <r>
      <rPr>
        <sz val="11"/>
        <color theme="1"/>
        <rFont val="Calibri"/>
      </rPr>
      <t xml:space="preserve">- </t>
    </r>
    <r>
      <rPr>
        <sz val="11"/>
        <color theme="1"/>
        <rFont val="Noto Sans"/>
      </rPr>
      <t xml:space="preserve">المعدل النهائي </t>
    </r>
    <r>
      <rPr>
        <sz val="11"/>
        <color theme="1"/>
        <rFont val="Calibri"/>
      </rPr>
      <t>= (Tasks% × 0.2) + (Attendance% × 0.3) + (Project% × 0.5)</t>
    </r>
  </si>
  <si>
    <t>الألوان في حالة النجاح والحضور تتغير تلقائياً (أخضر = ناجح/نعم ، أحمر = لم ينجح/لا)</t>
  </si>
  <si>
    <t>مريم ياسر علي السيد</t>
  </si>
  <si>
    <t>20251700797</t>
  </si>
  <si>
    <t>تحديث هيكل درجات البروجيكت:</t>
  </si>
  <si>
    <r>
      <rPr>
        <sz val="11"/>
        <color theme="1"/>
        <rFont val="Calibri"/>
      </rPr>
      <t xml:space="preserve">1. </t>
    </r>
    <r>
      <rPr>
        <sz val="11"/>
        <color theme="1"/>
        <rFont val="Noto Sans"/>
      </rPr>
      <t xml:space="preserve">تم إنشاء شيت جديد اسمه </t>
    </r>
    <r>
      <rPr>
        <sz val="11"/>
        <color theme="1"/>
        <rFont val="Calibri"/>
      </rPr>
      <t xml:space="preserve">Project_Scores </t>
    </r>
    <r>
      <rPr>
        <sz val="11"/>
        <color theme="1"/>
        <rFont val="Noto Sans"/>
      </rPr>
      <t xml:space="preserve">لكتابة درجات البروجيكت </t>
    </r>
    <r>
      <rPr>
        <sz val="11"/>
        <color theme="1"/>
        <rFont val="Calibri"/>
      </rPr>
      <t>(Individual / Full Project / Bonus).</t>
    </r>
  </si>
  <si>
    <r>
      <rPr>
        <sz val="11"/>
        <color theme="1"/>
        <rFont val="Calibri"/>
      </rPr>
      <t xml:space="preserve">2. </t>
    </r>
    <r>
      <rPr>
        <sz val="11"/>
        <color theme="1"/>
        <rFont val="Noto Sans"/>
      </rPr>
      <t xml:space="preserve">الخلايا الصفراء في </t>
    </r>
    <r>
      <rPr>
        <sz val="11"/>
        <color theme="1"/>
        <rFont val="Calibri"/>
      </rPr>
      <t xml:space="preserve">Project_Scores = </t>
    </r>
    <r>
      <rPr>
        <sz val="11"/>
        <color theme="1"/>
        <rFont val="Noto Sans"/>
      </rPr>
      <t>مدخلات يدوية</t>
    </r>
    <r>
      <rPr>
        <sz val="11"/>
        <color theme="1"/>
        <rFont val="Calibri"/>
      </rPr>
      <t>.</t>
    </r>
  </si>
  <si>
    <r>
      <rPr>
        <sz val="11"/>
        <color theme="1"/>
        <rFont val="Calibri"/>
      </rPr>
      <t xml:space="preserve">3. </t>
    </r>
    <r>
      <rPr>
        <sz val="11"/>
        <color theme="1"/>
        <rFont val="Noto Sans"/>
      </rPr>
      <t xml:space="preserve">شيت </t>
    </r>
    <r>
      <rPr>
        <sz val="11"/>
        <color theme="1"/>
        <rFont val="Calibri"/>
      </rPr>
      <t xml:space="preserve">Project_Teams </t>
    </r>
    <r>
      <rPr>
        <sz val="11"/>
        <color theme="1"/>
        <rFont val="Noto Sans"/>
      </rPr>
      <t xml:space="preserve">بيسحب الدرجات تلقائياً من </t>
    </r>
    <r>
      <rPr>
        <sz val="11"/>
        <color theme="1"/>
        <rFont val="Calibri"/>
      </rPr>
      <t xml:space="preserve">Project_Scores </t>
    </r>
    <r>
      <rPr>
        <sz val="11"/>
        <color theme="1"/>
        <rFont val="Noto Sans"/>
      </rPr>
      <t xml:space="preserve">عن طريق </t>
    </r>
    <r>
      <rPr>
        <sz val="11"/>
        <color theme="1"/>
        <rFont val="Calibri"/>
      </rPr>
      <t>Student ID.</t>
    </r>
  </si>
  <si>
    <t>20241700031</t>
  </si>
  <si>
    <t>احمد سامح حسن احمد محمد شوشه</t>
  </si>
  <si>
    <t>Level 2</t>
  </si>
  <si>
    <r>
      <rPr>
        <sz val="11"/>
        <color theme="1"/>
        <rFont val="Calibri"/>
      </rPr>
      <t xml:space="preserve">4. </t>
    </r>
    <r>
      <rPr>
        <sz val="11"/>
        <color theme="1"/>
        <rFont val="Noto Sans"/>
      </rPr>
      <t xml:space="preserve">اكتب درجة </t>
    </r>
    <r>
      <rPr>
        <sz val="11"/>
        <color theme="1"/>
        <rFont val="Calibri"/>
      </rPr>
      <t xml:space="preserve">Full Project </t>
    </r>
    <r>
      <rPr>
        <sz val="11"/>
        <color theme="1"/>
        <rFont val="Noto Sans"/>
      </rPr>
      <t xml:space="preserve">لكل طالب </t>
    </r>
    <r>
      <rPr>
        <sz val="11"/>
        <color theme="1"/>
        <rFont val="Calibri"/>
      </rPr>
      <t>(</t>
    </r>
    <r>
      <rPr>
        <sz val="11"/>
        <color theme="1"/>
        <rFont val="Noto Sans"/>
      </rPr>
      <t>أو انسخ نفس القيمة لكل أعضاء التيم</t>
    </r>
    <r>
      <rPr>
        <sz val="11"/>
        <color theme="1"/>
        <rFont val="Calibri"/>
      </rPr>
      <t>).</t>
    </r>
  </si>
  <si>
    <t>فاطمة سامي محمد احمد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</si>
  <si>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</si>
  <si>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20241700031@cis.asu.edu.eg</t>
  </si>
  <si>
    <t>20251700575</t>
  </si>
  <si>
    <t>ahmedshosha2006@gmail.com</t>
  </si>
  <si>
    <t>01026585928</t>
  </si>
  <si>
    <t>غائب</t>
  </si>
  <si>
    <t>رؤى البدرى السيد توفيق</t>
  </si>
  <si>
    <t>20251700762</t>
  </si>
  <si>
    <t>محمود محمد عبد الرسول كريم</t>
  </si>
  <si>
    <t>20251700257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</si>
  <si>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</si>
  <si>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20251700762@cis.asu.edu.eg</t>
  </si>
  <si>
    <t>mahmoudmohamed20076@gmail.com</t>
  </si>
  <si>
    <t>01507359655</t>
  </si>
  <si>
    <t>شريف مصطفي عبد المنعم مصطفي</t>
  </si>
  <si>
    <t>team 2</t>
  </si>
  <si>
    <t>ياسمين حسام عادل حسانين</t>
  </si>
  <si>
    <t>20251700531</t>
  </si>
  <si>
    <t>20251701139</t>
  </si>
  <si>
    <t>عمر فؤاد محمد الشافعي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</si>
  <si>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</si>
  <si>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20251700531@cis.asu.edu.eg</t>
  </si>
  <si>
    <t>omelshafiey@gmail.com</t>
  </si>
  <si>
    <t>01211092805</t>
  </si>
  <si>
    <t>عمر مصطفي سلامة علي</t>
  </si>
  <si>
    <t>سما عباس سيد يوسف</t>
  </si>
  <si>
    <t>20251700360</t>
  </si>
  <si>
    <t>2023170451</t>
  </si>
  <si>
    <t>كيرلس مدحت مكرم عزمى</t>
  </si>
  <si>
    <t>Level 3</t>
  </si>
  <si>
    <t>Information Systems</t>
  </si>
  <si>
    <t>2023170451@cis.asu.edu.eg</t>
  </si>
  <si>
    <t>kirollos.medhat2005@gmail.com</t>
  </si>
  <si>
    <t>01200501803</t>
  </si>
  <si>
    <t>اسماء احمد عزت عبدالمطلب</t>
  </si>
  <si>
    <t>20251700097</t>
  </si>
  <si>
    <t>عمر ايمن بدر</t>
  </si>
  <si>
    <t>20251700511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</si>
  <si>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</si>
  <si>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20251700257@cis.asu.edu.eg</t>
  </si>
  <si>
    <t>roaelbadry8@gmail.com</t>
  </si>
  <si>
    <t>01140159717</t>
  </si>
  <si>
    <t>احمد اسماعيل سيد محمدي</t>
  </si>
  <si>
    <t>+20 11 28972875</t>
  </si>
  <si>
    <t>20251700766@cis.asu.edu.eg</t>
  </si>
  <si>
    <t>عمر احمد محمد إسماعيل</t>
  </si>
  <si>
    <t>20251700500</t>
  </si>
  <si>
    <t>عمر ايمن بدر عبد الفتاح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</si>
  <si>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</si>
  <si>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20251700511@cis.asu.edu.eg</t>
  </si>
  <si>
    <t>omaraymanbadr77777@gmail.com</t>
  </si>
  <si>
    <t>01013950802</t>
  </si>
  <si>
    <t>ياسمين صلاح الدين عباس</t>
  </si>
  <si>
    <t>team 3</t>
  </si>
  <si>
    <t>مستأذن</t>
  </si>
  <si>
    <t>محمود محمد عبد الرسول كريم محمود</t>
  </si>
  <si>
    <t>20251700143</t>
  </si>
  <si>
    <t>آيه خالد محمد نجيب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</si>
  <si>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</si>
  <si>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20251700143@cis.asu.edu.eg</t>
  </si>
  <si>
    <t>أحمد سالم السيد سليمان ربيع</t>
  </si>
  <si>
    <t>ayakhaledelgazar2007@gmail.com</t>
  </si>
  <si>
    <t>20251700025</t>
  </si>
  <si>
    <t>01001553655</t>
  </si>
  <si>
    <t>محمود طه أحمد محمد سيد</t>
  </si>
  <si>
    <t>20251700758</t>
  </si>
  <si>
    <t>20251700720</t>
  </si>
  <si>
    <t>محمد علي محمد علي</t>
  </si>
  <si>
    <t>عمر سعيد إسماعيل السيد فروح</t>
  </si>
  <si>
    <t>Computer Science</t>
  </si>
  <si>
    <t>20251700521</t>
  </si>
  <si>
    <t>20251700720@cis.asu.edu.eg</t>
  </si>
  <si>
    <t>amro500880@gmail.com</t>
  </si>
  <si>
    <t>01021164391</t>
  </si>
  <si>
    <t>20251700822</t>
  </si>
  <si>
    <t>معاذ محمد السيد عبدالله</t>
  </si>
  <si>
    <t>ملك حسين علي عبداللاه</t>
  </si>
  <si>
    <t>20251701741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</si>
  <si>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</si>
  <si>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20251700822@cis.asu.edu.eg</t>
  </si>
  <si>
    <t>m72946623@gmail.com</t>
  </si>
  <si>
    <t>01091060853</t>
  </si>
  <si>
    <t>team 4</t>
  </si>
  <si>
    <t>20241700700</t>
  </si>
  <si>
    <t>محمد اشرف محمد عبد المقصود</t>
  </si>
  <si>
    <t>عل محمد منير علي زكي</t>
  </si>
  <si>
    <t>20251701124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</si>
  <si>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</si>
  <si>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20241700700@cis.asu.edu.eg</t>
  </si>
  <si>
    <t>wutthefq@gmail.com</t>
  </si>
  <si>
    <t>01278244372</t>
  </si>
  <si>
    <t>نور جاد علي جاد</t>
  </si>
  <si>
    <t>عبدالله كرم ابوزيد سيف</t>
  </si>
  <si>
    <t>20251700432</t>
  </si>
  <si>
    <t>20241700948</t>
  </si>
  <si>
    <t>هادي احمد هاشم احمد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</si>
  <si>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</si>
  <si>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20241700948@cis.asu.edu.eg</t>
  </si>
  <si>
    <t>hady8705@gmail.com</t>
  </si>
  <si>
    <t>01127816879</t>
  </si>
  <si>
    <t>عبدالله هاني محمد نصر الدين عبدالحق</t>
  </si>
  <si>
    <t>بيشوي امجد فوزي عبدالملاك</t>
  </si>
  <si>
    <t>2023170147</t>
  </si>
  <si>
    <t>20251701037</t>
  </si>
  <si>
    <t>آيه محمد اداره محمد</t>
  </si>
  <si>
    <t>+20 10 01153283</t>
  </si>
  <si>
    <t>20251700797@cis.asu.edu.eg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</si>
  <si>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</si>
  <si>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20251701037@cis.asu.edu.eg</t>
  </si>
  <si>
    <t>aya904661@gmail.com</t>
  </si>
  <si>
    <t>01207548255</t>
  </si>
  <si>
    <t>نانسي محمد جلال عباس</t>
  </si>
  <si>
    <t>معاذ هاني عبدالستار عبدالحليم</t>
  </si>
  <si>
    <t>20251701090</t>
  </si>
  <si>
    <t>بيشوي كرم اسعد ذكي</t>
  </si>
  <si>
    <t>2023170149</t>
  </si>
  <si>
    <t>20251700009</t>
  </si>
  <si>
    <t>أحمد ناصر بكر محمود</t>
  </si>
  <si>
    <t>team 5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</si>
  <si>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</si>
  <si>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محممود أحمد رأفت</t>
  </si>
  <si>
    <t>20251700009@cis.asu.edu.eg</t>
  </si>
  <si>
    <t>20251700750</t>
  </si>
  <si>
    <t>a.safwat7197@gmail.com</t>
  </si>
  <si>
    <t>01146113765</t>
  </si>
  <si>
    <t>محمد طاهر محمد محمود</t>
  </si>
  <si>
    <t>+20 11 43693735</t>
  </si>
  <si>
    <t>20251700575@cis.asu.edu.eg</t>
  </si>
  <si>
    <t>آيه محمد أداره</t>
  </si>
  <si>
    <t>رضوي علاء الدين</t>
  </si>
  <si>
    <t>20251700264</t>
  </si>
  <si>
    <t>مروان خالد عبد الجواد</t>
  </si>
  <si>
    <t>20251700769</t>
  </si>
  <si>
    <t>معاذ محمد عبد النبي</t>
  </si>
  <si>
    <t>20251700824</t>
  </si>
  <si>
    <t>team 6</t>
  </si>
  <si>
    <t>ماريا بولس ابراهيم</t>
  </si>
  <si>
    <t>20241700670</t>
  </si>
  <si>
    <t>01118962030</t>
  </si>
  <si>
    <t>20251701139@cis.asu.edu.eg</t>
  </si>
  <si>
    <t>Menna Waheed</t>
  </si>
  <si>
    <t>يوأنا ريمون منير</t>
  </si>
  <si>
    <t>20241700995</t>
  </si>
  <si>
    <t>جورج جمال عبده</t>
  </si>
  <si>
    <t>20241700225</t>
  </si>
  <si>
    <t>جون باسم وجدى</t>
  </si>
  <si>
    <t>20241700232</t>
  </si>
  <si>
    <t>جمال حسام الدين مصطفى</t>
  </si>
  <si>
    <t>20241700208</t>
  </si>
  <si>
    <t>team 7</t>
  </si>
  <si>
    <t>سما عمرو عبد الرحمن سعد</t>
  </si>
  <si>
    <t>20251701172</t>
  </si>
  <si>
    <t>سارة نسيم عزيز اسعد</t>
  </si>
  <si>
    <t>20251700328</t>
  </si>
  <si>
    <t>0 106 926 2702</t>
  </si>
  <si>
    <t>20251700360@cis.asu.edu.eg</t>
  </si>
  <si>
    <t>الاء عماد احمد محمد</t>
  </si>
  <si>
    <t>20251700104</t>
  </si>
  <si>
    <t>ملك محمد احمد يس</t>
  </si>
  <si>
    <t>20251701092</t>
  </si>
  <si>
    <t>team 8</t>
  </si>
  <si>
    <t>آدم محمد عطيتو السيد</t>
  </si>
  <si>
    <t>20241700089</t>
  </si>
  <si>
    <t>01272781091</t>
  </si>
  <si>
    <t>20251700097@cis.asu.edu.eg</t>
  </si>
  <si>
    <t>سعيد مسعد سعيد محمد</t>
  </si>
  <si>
    <t>20241700374</t>
  </si>
  <si>
    <t>عمرو محمد مصطفي محمد</t>
  </si>
  <si>
    <t>20241700600</t>
  </si>
  <si>
    <t>بوش عماد جمال جاد</t>
  </si>
  <si>
    <t>20241700196</t>
  </si>
  <si>
    <t>عمرو خالد أحمد محمود الطويل</t>
  </si>
  <si>
    <t>20241700590</t>
  </si>
  <si>
    <t>team 9</t>
  </si>
  <si>
    <t>احمد صابر احمد محمد</t>
  </si>
  <si>
    <t>20241700037</t>
  </si>
  <si>
    <t>احمد عادل عطيه صبري</t>
  </si>
  <si>
    <t>20241700044</t>
  </si>
  <si>
    <t>يوسف سيد فوزي عبدالرحيم</t>
  </si>
  <si>
    <t>2023170731</t>
  </si>
  <si>
    <t>محمد عيد محمود سيد</t>
  </si>
  <si>
    <t>20251701133</t>
  </si>
  <si>
    <t>01018703667</t>
  </si>
  <si>
    <t>20251700500@cis.asu.edu.eg</t>
  </si>
  <si>
    <t>احمد ابوسريع ابراهيم سويلم</t>
  </si>
  <si>
    <t>20241700014</t>
  </si>
  <si>
    <t>team 10</t>
  </si>
  <si>
    <t>حسن هاني حسن محمد</t>
  </si>
  <si>
    <t>20251700235</t>
  </si>
  <si>
    <t>20241700585</t>
  </si>
  <si>
    <t>عمر وليد سعيد علي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</si>
  <si>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</si>
  <si>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20241700585@cis.asu.edu.eg</t>
  </si>
  <si>
    <t>أحمد عصام حسين محمود</t>
  </si>
  <si>
    <t>womar45689@gmail.com</t>
  </si>
  <si>
    <t>20241701173</t>
  </si>
  <si>
    <t>01124150915</t>
  </si>
  <si>
    <t>دانيال رأفت باقي يوسف</t>
  </si>
  <si>
    <t>20241700290</t>
  </si>
  <si>
    <t>Omar Mostafa</t>
  </si>
  <si>
    <t>خالد محمد مسعد السبع</t>
  </si>
  <si>
    <t>20251700250</t>
  </si>
  <si>
    <t>20241700568</t>
  </si>
  <si>
    <t>عمر مجدي علي فؤاد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</si>
  <si>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</si>
  <si>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20241700568@cis.asu.edu.eg</t>
  </si>
  <si>
    <t>om6758391@gmail.com</t>
  </si>
  <si>
    <t>محمد ماجد سليمان مضوي</t>
  </si>
  <si>
    <t>01117944670</t>
  </si>
  <si>
    <t>20251701232</t>
  </si>
  <si>
    <t>team 11</t>
  </si>
  <si>
    <t>محمد عاطف حسن علي</t>
  </si>
  <si>
    <t>20251700704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</si>
  <si>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</si>
  <si>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20241700374@cis.asu.edu.eg</t>
  </si>
  <si>
    <t>saeedseliem9@gmail.com</t>
  </si>
  <si>
    <t>01200690946</t>
  </si>
  <si>
    <t>01008424741</t>
  </si>
  <si>
    <t>20251700025@cis.asu.edu.eg</t>
  </si>
  <si>
    <t>علي عمرو محمد عبدالهادي</t>
  </si>
  <si>
    <t>20231700233</t>
  </si>
  <si>
    <t>محمد عبدالحميد سعيد النشار</t>
  </si>
  <si>
    <t>20251700711</t>
  </si>
  <si>
    <t>Aly Mohamed Mounir Aly Zaky Darwish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</si>
  <si>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</si>
  <si>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20251701124@cis.asu.edu.eg</t>
  </si>
  <si>
    <t>aly.mounirr@gmail.com</t>
  </si>
  <si>
    <t>01226469696</t>
  </si>
  <si>
    <t>أنس أحمد عيسى أحمد</t>
  </si>
  <si>
    <t>20251701110</t>
  </si>
  <si>
    <t>01063681893</t>
  </si>
  <si>
    <t>20251700758@cis.asu.edu.eg</t>
  </si>
  <si>
    <t>20241700235</t>
  </si>
  <si>
    <t>جيهان جواد محمد اليوسفي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</si>
  <si>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</si>
  <si>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20241700235@cis.asu.edu.eg</t>
  </si>
  <si>
    <t>jih.an.jih.2000@gmail.com</t>
  </si>
  <si>
    <t>01021838227</t>
  </si>
  <si>
    <t>منة الله وحيد محمد على</t>
  </si>
  <si>
    <t>team 12</t>
  </si>
  <si>
    <t>نورهان سيد فواز سيد</t>
  </si>
  <si>
    <t>20241701169</t>
  </si>
  <si>
    <t>20241700174</t>
  </si>
  <si>
    <t>بسملة فهيم حسنى سعيد</t>
  </si>
  <si>
    <t>بلال محمد عشري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</si>
  <si>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</si>
  <si>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20251701155</t>
  </si>
  <si>
    <t>20241700174@cis.asu.edu.eg</t>
  </si>
  <si>
    <t>basmalafahim42@gmail.com</t>
  </si>
  <si>
    <t>01022315785</t>
  </si>
  <si>
    <t>ماريو فوزي وليم</t>
  </si>
  <si>
    <t>2023170466</t>
  </si>
  <si>
    <t>01127183750</t>
  </si>
  <si>
    <t>20251700521@cis.asu.edu.eg</t>
  </si>
  <si>
    <t>احمد حسن بيومي</t>
  </si>
  <si>
    <t>20251701144</t>
  </si>
  <si>
    <t>20241701015</t>
  </si>
  <si>
    <t>يوسف سامى شعبان كامل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</si>
  <si>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</si>
  <si>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20241701015@cis.asu.edu.eg</t>
  </si>
  <si>
    <t>ysamy6890@gmail.com</t>
  </si>
  <si>
    <t>01117982889</t>
  </si>
  <si>
    <t>عامر وحيد هلال</t>
  </si>
  <si>
    <t>20241701556</t>
  </si>
  <si>
    <t>team 13</t>
  </si>
  <si>
    <t>عمر مجدي علي</t>
  </si>
  <si>
    <t>هندسة البرمجيات/ Software Engineer</t>
  </si>
  <si>
    <t>01062418859</t>
  </si>
  <si>
    <t>20251701741@cis.asu.edu.eg</t>
  </si>
  <si>
    <t>عمرو خالد أحمد محمود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</si>
  <si>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</si>
  <si>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20241700590@cis.asu.edu.eg</t>
  </si>
  <si>
    <t>amr.k.eltaweel@gmail.com</t>
  </si>
  <si>
    <t>01002748249</t>
  </si>
  <si>
    <t>محمد يوسف عباس</t>
  </si>
  <si>
    <t>20241700770</t>
  </si>
  <si>
    <t>20241700088</t>
  </si>
  <si>
    <t>آدم احمد سمير إبراهيم</t>
  </si>
  <si>
    <t>عمر هشام محمد</t>
  </si>
  <si>
    <t>20241700581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</si>
  <si>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</si>
  <si>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20241700088@cis.asu.edu.eg</t>
  </si>
  <si>
    <t>adam.samir26220@gmail.com</t>
  </si>
  <si>
    <t>01116979793</t>
  </si>
  <si>
    <t>Ahmed Ismail</t>
  </si>
  <si>
    <t>محمد كمال محمد</t>
  </si>
  <si>
    <t>20241700741</t>
  </si>
  <si>
    <t>احمد عبدالله عمر</t>
  </si>
  <si>
    <t>20241700047</t>
  </si>
  <si>
    <t>20241700049</t>
  </si>
  <si>
    <t>احمد علي محمد علي حماده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</si>
  <si>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</si>
  <si>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team 14</t>
  </si>
  <si>
    <t>20241700049@cis.asu.edu.eg</t>
  </si>
  <si>
    <t>ahmed.thatha12@gmail.com</t>
  </si>
  <si>
    <t>01110963213</t>
  </si>
  <si>
    <t>سيف الدين وليد حسني</t>
  </si>
  <si>
    <t>20241700409</t>
  </si>
  <si>
    <t>01093493111</t>
  </si>
  <si>
    <t>20251700432@cis.asu.edu.eg</t>
  </si>
  <si>
    <t>عبدالله محمد عبدالله قناوي</t>
  </si>
  <si>
    <t>20241700515</t>
  </si>
  <si>
    <t>SW Engineering</t>
  </si>
  <si>
    <t>malakeltahan59@gmail.com</t>
  </si>
  <si>
    <t>2023170213</t>
  </si>
  <si>
    <t>ابراهيم محمد يسري احمد</t>
  </si>
  <si>
    <t>2023170014</t>
  </si>
  <si>
    <t>2023170051</t>
  </si>
  <si>
    <t>احمد محمد احمد حفني</t>
  </si>
  <si>
    <t>Scientific Computing</t>
  </si>
  <si>
    <t>2023170051@cis.asu.edu.eg</t>
  </si>
  <si>
    <t>ahmedmohammmed875@gmail.com</t>
  </si>
  <si>
    <t>01091841380</t>
  </si>
  <si>
    <t>2023170020</t>
  </si>
  <si>
    <t>team 15</t>
  </si>
  <si>
    <t>جون باسم وجدي وهيب</t>
  </si>
  <si>
    <t>ندى محمود رياض نور الدين محمود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</si>
  <si>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</si>
  <si>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20241700920</t>
  </si>
  <si>
    <t>20241700232@cis.asu.edu.eg</t>
  </si>
  <si>
    <t>johnbassem48@gmail.com</t>
  </si>
  <si>
    <t>01289264131</t>
  </si>
  <si>
    <t>عبدالرحمن احمد احمد سند</t>
  </si>
  <si>
    <t>نوران محمد السيد محمد نصر</t>
  </si>
  <si>
    <t>20241700935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</si>
  <si>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</si>
  <si>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هايدي محمد عبد الفتاح</t>
  </si>
  <si>
    <t>abduallahkaram301@gmail.com</t>
  </si>
  <si>
    <t>20241700953</t>
  </si>
  <si>
    <t>المستوى الثالث/ Level 3</t>
  </si>
  <si>
    <t>نورين شريف عبد الفتاح شاهين</t>
  </si>
  <si>
    <t>الحسابات العلمية/ Scientific Computing</t>
  </si>
  <si>
    <t>20241700943</t>
  </si>
  <si>
    <t>01228898234</t>
  </si>
  <si>
    <t>2023170147@cis.asu.edu.eg</t>
  </si>
  <si>
    <t>20241700219</t>
  </si>
  <si>
    <t>جنى ناصر محمد ذكى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</si>
  <si>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</si>
  <si>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20241700219@cis.asu.edu.eg</t>
  </si>
  <si>
    <t>nasserjana671@gmail.com</t>
  </si>
  <si>
    <t>01157158146</t>
  </si>
  <si>
    <t>team 16</t>
  </si>
  <si>
    <t>عبدالرحمن احمد فاروق محمد فؤاد</t>
  </si>
  <si>
    <t>20241701056</t>
  </si>
  <si>
    <t>معاذ هاني عبدالستار عبدالحليم كشك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</si>
  <si>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</si>
  <si>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20251701090@cis.asu.edu.eg</t>
  </si>
  <si>
    <t>mo3azkeshk@gmail.com</t>
  </si>
  <si>
    <t>01015563533</t>
  </si>
  <si>
    <t>مهرائيل نسيم وليم</t>
  </si>
  <si>
    <t>20251700862</t>
  </si>
  <si>
    <t>2023170533</t>
  </si>
  <si>
    <t>محمد محمود محمد خليل الشعراوي</t>
  </si>
  <si>
    <t>2023170533@cis.asu.edu.eg</t>
  </si>
  <si>
    <t>مهرائيل مرقس جوزيف</t>
  </si>
  <si>
    <t>msharawy986@gmail.com</t>
  </si>
  <si>
    <t>01009585793</t>
  </si>
  <si>
    <t>20251700859</t>
  </si>
  <si>
    <t>آدم احمد سمير</t>
  </si>
  <si>
    <t>2023170218</t>
  </si>
  <si>
    <t>رزان سعيد محمد بوحسن</t>
  </si>
  <si>
    <t>2023170218@cis.asu.edu.eg</t>
  </si>
  <si>
    <t>razansg356@gmail.com</t>
  </si>
  <si>
    <t>01118494619</t>
  </si>
  <si>
    <t>هيلانه اسعد عبد الشهيد</t>
  </si>
  <si>
    <t>20241700967</t>
  </si>
  <si>
    <t>01210982985</t>
  </si>
  <si>
    <t>2023170036</t>
  </si>
  <si>
    <t>2023170149@cis.asu.edu.eg</t>
  </si>
  <si>
    <t>احمد سليمان سعد عبدالحميد</t>
  </si>
  <si>
    <t>team 17</t>
  </si>
  <si>
    <t>2023170036@cis.asu.edu.eg</t>
  </si>
  <si>
    <t>ahmedsolimansaadselimo@gmail.com</t>
  </si>
  <si>
    <t>01275548780</t>
  </si>
  <si>
    <t>زياد احمد عبدالرازق سيد</t>
  </si>
  <si>
    <t>اسراء محمود</t>
  </si>
  <si>
    <t>20251700290</t>
  </si>
  <si>
    <t>20241701017</t>
  </si>
  <si>
    <t>يوسف شعبان عبدالمغني مهدي</t>
  </si>
  <si>
    <t>جورج الفريد منسي الكسان</t>
  </si>
  <si>
    <t>20251700202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</si>
  <si>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</si>
  <si>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20241701017@cis.asu.edu.eg</t>
  </si>
  <si>
    <t>shaabanmasr27@gmail.com</t>
  </si>
  <si>
    <t>01114349267</t>
  </si>
  <si>
    <t>محمد احمد السيد محمود</t>
  </si>
  <si>
    <t>20251700666</t>
  </si>
  <si>
    <t>01151878262</t>
  </si>
  <si>
    <t>2023170731@cis.asu.edu.eg</t>
  </si>
  <si>
    <t>20251700750@cis.asu.edu.eg</t>
  </si>
  <si>
    <t>youssefelkordy875@gmail.com</t>
  </si>
  <si>
    <t>Abdallah Mohamed</t>
  </si>
  <si>
    <t>صلاح طاهر حسني</t>
  </si>
  <si>
    <t>01155091396</t>
  </si>
  <si>
    <t>20251700408</t>
  </si>
  <si>
    <t>محمد احمد عبدالرحيم عبدالرسول</t>
  </si>
  <si>
    <t>20251700670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</si>
  <si>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</si>
  <si>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20241700600@cis.asu.edu.eg</t>
  </si>
  <si>
    <t>maromohamedx771@gmail.com</t>
  </si>
  <si>
    <t>01068554240</t>
  </si>
  <si>
    <t>team 18</t>
  </si>
  <si>
    <t>يحيي صلاح الدين عباس</t>
  </si>
  <si>
    <t>20251700957</t>
  </si>
  <si>
    <t>2023170356</t>
  </si>
  <si>
    <t>عبدالله سعد احمد حسين</t>
  </si>
  <si>
    <t>2023170356@cis.asu.edu.eg</t>
  </si>
  <si>
    <t>bsd33791@gmail.com</t>
  </si>
  <si>
    <t>01284615164</t>
  </si>
  <si>
    <t>محمد رجب محمد قرني</t>
  </si>
  <si>
    <t>2023170495</t>
  </si>
  <si>
    <t>20251700817</t>
  </si>
  <si>
    <t>معاذ احمد محمود محمد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</si>
  <si>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</si>
  <si>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محمد باسم محمد الدسوقي</t>
  </si>
  <si>
    <t>20251700817@cis.asu.edu.eg</t>
  </si>
  <si>
    <t>2022170358</t>
  </si>
  <si>
    <t>moaaz0100625@gmail.com</t>
  </si>
  <si>
    <t>01227400560</t>
  </si>
  <si>
    <t>عمر احمد خيرت مصطفى</t>
  </si>
  <si>
    <t>20241701096</t>
  </si>
  <si>
    <t>بيشوي عماد جمال جاد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</si>
  <si>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</si>
  <si>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20241700196@cis.asu.edu.eg</t>
  </si>
  <si>
    <t>besholion89@gmail.com</t>
  </si>
  <si>
    <t>01220578186</t>
  </si>
  <si>
    <t>اشرف ابراهيم حسن</t>
  </si>
  <si>
    <t>20251700101</t>
  </si>
  <si>
    <t>01017319627</t>
  </si>
  <si>
    <t>20251700264@cis.asu.edu.eg</t>
  </si>
  <si>
    <t>team 19</t>
  </si>
  <si>
    <t>20241700528</t>
  </si>
  <si>
    <t>على ابراهيم محمد محمد حسن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</si>
  <si>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</si>
  <si>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20241700528@cis.asu.edu.eg</t>
  </si>
  <si>
    <t>aliibrahim3600@gmail.com</t>
  </si>
  <si>
    <t>01062419263</t>
  </si>
  <si>
    <t>احمد شريف منصور السعيد</t>
  </si>
  <si>
    <t>20241700036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</si>
  <si>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</si>
  <si>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20251700711@cis.asu.edu.eg</t>
  </si>
  <si>
    <t>احمد نبيل عبدالرحمن</t>
  </si>
  <si>
    <t>medo.aabddhamed@gmail.com</t>
  </si>
  <si>
    <t>2023170065</t>
  </si>
  <si>
    <t>01027536651</t>
  </si>
  <si>
    <t>3bdullah</t>
  </si>
  <si>
    <t>معاذ أحمد عيد نور</t>
  </si>
  <si>
    <t>2023170619</t>
  </si>
  <si>
    <t>20231700227</t>
  </si>
  <si>
    <t>سيف الدين محمد حسين</t>
  </si>
  <si>
    <t>Artificial Intelligence</t>
  </si>
  <si>
    <t>يوسف سيد سليمان عبدالفضيل</t>
  </si>
  <si>
    <t>20231700227@cis.asu.edu.eg</t>
  </si>
  <si>
    <t>2023170730</t>
  </si>
  <si>
    <t>seifeldin2005mohamed@gmail.com</t>
  </si>
  <si>
    <t>01064630897</t>
  </si>
  <si>
    <t>سيف الدين وليد حسني عبدالرحيم</t>
  </si>
  <si>
    <t>team 20</t>
  </si>
  <si>
    <t>Aly mohamed mahmoud elshafei</t>
  </si>
  <si>
    <t>20241701617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</si>
  <si>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</si>
  <si>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20241700920@cis.asu.edu.eg</t>
  </si>
  <si>
    <t>nmr111006@gmail.com</t>
  </si>
  <si>
    <t>01017817373</t>
  </si>
  <si>
    <t>Omar waleed</t>
  </si>
  <si>
    <t>20241701619</t>
  </si>
  <si>
    <t>احمد سالم السيد سليمان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</si>
  <si>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</si>
  <si>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يوسف محمد ايمن عبد الحميد اردش</t>
  </si>
  <si>
    <t>as2405897@gmail.com</t>
  </si>
  <si>
    <t>20241701909</t>
  </si>
  <si>
    <t>01110264626</t>
  </si>
  <si>
    <t>Hamza tarek rashad</t>
  </si>
  <si>
    <t>20251700769@cis.asu.edu.eg</t>
  </si>
  <si>
    <t>20241701611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</si>
  <si>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</si>
  <si>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20241700935@cis.asu.edu.eg</t>
  </si>
  <si>
    <t>nouran3367@gmail.com</t>
  </si>
  <si>
    <t>01280841784</t>
  </si>
  <si>
    <t>Anas Malek Afify</t>
  </si>
  <si>
    <t>20241701603</t>
  </si>
  <si>
    <t>team 21</t>
  </si>
  <si>
    <t>2023170326</t>
  </si>
  <si>
    <t>عبدالله يسرى ثابت عبدالرحمن</t>
  </si>
  <si>
    <t>زينب علاء علي</t>
  </si>
  <si>
    <t>2023170249</t>
  </si>
  <si>
    <t>2023170326@cis.asu.edu.eg</t>
  </si>
  <si>
    <t>youserythabet@gmail.com</t>
  </si>
  <si>
    <t>01158777563</t>
  </si>
  <si>
    <t>01202128871</t>
  </si>
  <si>
    <t>20251700824@cis.asu.edu.eg</t>
  </si>
  <si>
    <t>20231700213</t>
  </si>
  <si>
    <t>تقى حسنى محمود محمد</t>
  </si>
  <si>
    <t>20231700213@cis.asu.edu.eg</t>
  </si>
  <si>
    <t>tokahosnyy@gmail.com</t>
  </si>
  <si>
    <t>01555931607</t>
  </si>
  <si>
    <t>أية هانى محمود مصطفى</t>
  </si>
  <si>
    <t>20241700155</t>
  </si>
  <si>
    <t>سارة رضا عبداللطيف احمد</t>
  </si>
  <si>
    <t>20251701116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</si>
  <si>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</si>
  <si>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20241700208@cis.asu.edu.eg</t>
  </si>
  <si>
    <t>ghossam.618979@gmail.com</t>
  </si>
  <si>
    <t>01155384335</t>
  </si>
  <si>
    <t>عبدالرحمن عصام حسن علي</t>
  </si>
  <si>
    <t>20241700483</t>
  </si>
  <si>
    <t>المستوى الثاني/ Level 2</t>
  </si>
  <si>
    <t>01271728492</t>
  </si>
  <si>
    <t>20241700670@cis.asu.edu.eg</t>
  </si>
  <si>
    <t>Ramez magdy</t>
  </si>
  <si>
    <t>team 22</t>
  </si>
  <si>
    <t>20231700233@cis.asu.edu.eg</t>
  </si>
  <si>
    <t>oppoa31omar@gmail.com</t>
  </si>
  <si>
    <t>01066973048</t>
  </si>
  <si>
    <t>حبيبة إبراهيم سيد</t>
  </si>
  <si>
    <t>20241700244</t>
  </si>
  <si>
    <t>احمد نبيل عبدالرحمن عبدالرحمن</t>
  </si>
  <si>
    <t>2023170065@cis.asu.edu.eg</t>
  </si>
  <si>
    <t>nabilion987@gmail.com</t>
  </si>
  <si>
    <t>01017599487</t>
  </si>
  <si>
    <t>جيهان جواد اليوسفي</t>
  </si>
  <si>
    <t>2023170597</t>
  </si>
  <si>
    <t>مشكاة النعمان احمد عمر</t>
  </si>
  <si>
    <t>نسيبة مصطفى راشد يوسف</t>
  </si>
  <si>
    <t>2023170667</t>
  </si>
  <si>
    <t>2023170597@cis.asu.edu.eg</t>
  </si>
  <si>
    <t>m15.1234567fg@gmail.com</t>
  </si>
  <si>
    <t>01124125633</t>
  </si>
  <si>
    <t>01225475810</t>
  </si>
  <si>
    <t>20241700995@cis.asu.edu.eg</t>
  </si>
  <si>
    <t>ملك محمد ابراهيم عبده مهنا</t>
  </si>
  <si>
    <t>20251700832</t>
  </si>
  <si>
    <t>team 23</t>
  </si>
  <si>
    <t>محمد يوسف عباس مرسي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</si>
  <si>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</si>
  <si>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يوسف سيد علي علي</t>
  </si>
  <si>
    <t>20241700770@cis.asu.edu.eg</t>
  </si>
  <si>
    <t>20241701016</t>
  </si>
  <si>
    <t>mohamedyoussef22328@gmail.com</t>
  </si>
  <si>
    <t>01122556021</t>
  </si>
  <si>
    <t>يوسف سامي شعبان كامل</t>
  </si>
  <si>
    <t>رنا صبحي متولي حسن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</si>
  <si>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</si>
  <si>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ranasobhy112007@gmail.com</t>
  </si>
  <si>
    <t>01200484926</t>
  </si>
  <si>
    <t>20241700225@cis.asu.edu.eg</t>
  </si>
  <si>
    <t>زياد علاء محمد محمد</t>
  </si>
  <si>
    <t>20241700341</t>
  </si>
  <si>
    <t>20231700251</t>
  </si>
  <si>
    <t>ميرنا ناصر شفيق كرلس</t>
  </si>
  <si>
    <t>20231700251@cis.asu.edu.eg</t>
  </si>
  <si>
    <t>mernanassermerna@gmail.com</t>
  </si>
  <si>
    <t>01273919845</t>
  </si>
  <si>
    <t>شهد خالد محمدي ابراهيم</t>
  </si>
  <si>
    <t>20251700396</t>
  </si>
  <si>
    <t>محمد عبد الحليم جمال محمد</t>
  </si>
  <si>
    <t>20241700733</t>
  </si>
  <si>
    <t>20241701642</t>
  </si>
  <si>
    <t>يوسف حليم حلمي شهدي</t>
  </si>
  <si>
    <t>20241701642@cis.asu.edu.eg</t>
  </si>
  <si>
    <t>joeyjoeyjoesjoes@gmail.com</t>
  </si>
  <si>
    <t>01208788726</t>
  </si>
  <si>
    <t>team 24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</si>
  <si>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</si>
  <si>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20251700670@cis.asu.edu.eg</t>
  </si>
  <si>
    <t>ma44747263@gmail.com</t>
  </si>
  <si>
    <t>01120117137</t>
  </si>
  <si>
    <t>رؤى طه منير محمود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</si>
  <si>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</si>
  <si>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2023170212</t>
  </si>
  <si>
    <t>fsamy965@gmail.com</t>
  </si>
  <si>
    <t>01143693735</t>
  </si>
  <si>
    <t>عمر خالد محمد محمود</t>
  </si>
  <si>
    <t>20241700560</t>
  </si>
  <si>
    <t>جورج جمال عبده تادرس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</si>
  <si>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</si>
  <si>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jwrjj5377@gmail.com</t>
  </si>
  <si>
    <t>عبدالله طه عبدالله السيد</t>
  </si>
  <si>
    <t>20241700510</t>
  </si>
  <si>
    <t>محمود طه أحمد محمد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</si>
  <si>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</si>
  <si>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mahmoudzig13@gmail.com</t>
  </si>
  <si>
    <t>team 25</t>
  </si>
  <si>
    <t>أنس مالك عفيفى سالمان موسى</t>
  </si>
  <si>
    <t>20241701603@cis.asu.edu.eg</t>
  </si>
  <si>
    <t>anasmalek11123@gmail.com</t>
  </si>
  <si>
    <t>01009276359</t>
  </si>
  <si>
    <t>محمد محروس صبحي محمد</t>
  </si>
  <si>
    <t>2023170530</t>
  </si>
  <si>
    <t>Nour gad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</si>
  <si>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</si>
  <si>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2023170619@cis.asu.edu.eg</t>
  </si>
  <si>
    <t>moaznour0122@gmail.com</t>
  </si>
  <si>
    <t>01010975916</t>
  </si>
  <si>
    <t>زياد مجدى صلاح حجازى</t>
  </si>
  <si>
    <t>2023170240</t>
  </si>
  <si>
    <t>زياد أسامة مصطفى شلبى</t>
  </si>
  <si>
    <t>2023170234</t>
  </si>
  <si>
    <t>Digital Multimedia</t>
  </si>
  <si>
    <t>20241701909@cis.asu.edu.eg</t>
  </si>
  <si>
    <t>youssefmohamedayman324@gmail.com</t>
  </si>
  <si>
    <t>01129928971</t>
  </si>
  <si>
    <t>يوسف شعبان عبد المغني</t>
  </si>
  <si>
    <t>team 26</t>
  </si>
  <si>
    <t>20251700064</t>
  </si>
  <si>
    <t>أحمد محمد محمود عبدالعزيز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</si>
  <si>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</si>
  <si>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20251700064@cis.asu.edu.eg</t>
  </si>
  <si>
    <t>ahmedmmargha@gmail.com</t>
  </si>
  <si>
    <t>01144349457</t>
  </si>
  <si>
    <t>معاذ احمد محمود محمد حسن</t>
  </si>
  <si>
    <t>01100523553</t>
  </si>
  <si>
    <t>20251701172@cis.asu.edu.eg</t>
  </si>
  <si>
    <t>معاذ محمد عبد النبي درويش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</si>
  <si>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</si>
  <si>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مروان شريف زكريا محمد</t>
  </si>
  <si>
    <t>mouazdarwish61@gmail.com</t>
  </si>
  <si>
    <t>20251700770</t>
  </si>
  <si>
    <t>يوسف حاتم الرفاعي عطيه</t>
  </si>
  <si>
    <t>20251700975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</si>
  <si>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</si>
  <si>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Razan saeed</t>
  </si>
  <si>
    <t>20251700770@cis.asu.edu.eg</t>
  </si>
  <si>
    <t>marwanzakaria324@gmail.com</t>
  </si>
  <si>
    <t>01116113932</t>
  </si>
  <si>
    <t>team 27</t>
  </si>
  <si>
    <t>محمد اشرف محمد عبدالمقصود</t>
  </si>
  <si>
    <t>01121168989</t>
  </si>
  <si>
    <t>20251700328@cis.asu.edu.eg</t>
  </si>
  <si>
    <t>هادي احمد هاشم</t>
  </si>
  <si>
    <t>يوسف وليد السيد عرفة</t>
  </si>
  <si>
    <t>20241701175</t>
  </si>
  <si>
    <t>01066057371</t>
  </si>
  <si>
    <t>20251700104@cis.asu.edu.eg</t>
  </si>
  <si>
    <t>Abed tamer</t>
  </si>
  <si>
    <t>20251701720</t>
  </si>
  <si>
    <t>team 28</t>
  </si>
  <si>
    <t>Abdullah</t>
  </si>
  <si>
    <t>20241701557</t>
  </si>
  <si>
    <t>youssef halim helmy</t>
  </si>
  <si>
    <t>01129656913</t>
  </si>
  <si>
    <t>20251701092@cis.asu.edu.eg</t>
  </si>
  <si>
    <t>محمود حماده محمود علي</t>
  </si>
  <si>
    <t>2023170553</t>
  </si>
  <si>
    <t>سيف الدين علاء</t>
  </si>
  <si>
    <t>2022170197</t>
  </si>
  <si>
    <t>عمر احمد مصطفى عبد العاطي</t>
  </si>
  <si>
    <t>20251700504</t>
  </si>
  <si>
    <t>team 29</t>
  </si>
  <si>
    <t>مروان عبدالرحمن لطفي عفيفي</t>
  </si>
  <si>
    <t>20241700794</t>
  </si>
  <si>
    <t>01029452432</t>
  </si>
  <si>
    <t>20241700089@cis.asu.edu.eg</t>
  </si>
  <si>
    <t>Belal</t>
  </si>
  <si>
    <t>محمد هشام السيد الرفاعى</t>
  </si>
  <si>
    <t>20241700761</t>
  </si>
  <si>
    <t>أحمد ناصر ناصر بكر محمود</t>
  </si>
  <si>
    <t>احمد حامد جلال حسن</t>
  </si>
  <si>
    <t>20251700019</t>
  </si>
  <si>
    <t>مروان محمد آحمد حسين</t>
  </si>
  <si>
    <t>2023170572</t>
  </si>
  <si>
    <t>team 30</t>
  </si>
  <si>
    <t>احمد محمد أحمد حفني</t>
  </si>
  <si>
    <t>يوسف وليد وحيد عبد العاطي</t>
  </si>
  <si>
    <t>20251701023</t>
  </si>
  <si>
    <t>محمد ماجد صبري</t>
  </si>
  <si>
    <t>20241700742</t>
  </si>
  <si>
    <t>team 31</t>
  </si>
  <si>
    <t>مشكاة النعمان احمد</t>
  </si>
  <si>
    <t>علي محمد مصطفى كمال</t>
  </si>
  <si>
    <t>2022170261</t>
  </si>
  <si>
    <t>احمد محمد شوقي امين</t>
  </si>
  <si>
    <t>2023170058</t>
  </si>
  <si>
    <t>يوسف جرجس فرج زقم</t>
  </si>
  <si>
    <t>2023170720</t>
  </si>
  <si>
    <t>احمد مصطفى احمد فهيم مصطفى</t>
  </si>
  <si>
    <t>20251701801</t>
  </si>
  <si>
    <t>team32</t>
  </si>
  <si>
    <t>فادى سلامة نجيب</t>
  </si>
  <si>
    <t>2023170417</t>
  </si>
  <si>
    <t xml:space="preserve">يسى ايمن فؤاد حكيم </t>
  </si>
  <si>
    <t>20251700960</t>
  </si>
  <si>
    <t xml:space="preserve">محمود ياسر محمد محمد </t>
  </si>
  <si>
    <t>2023170563</t>
  </si>
  <si>
    <t xml:space="preserve">عبدالله سعد أحمد حسين </t>
  </si>
  <si>
    <t xml:space="preserve">كريم حافظ سيد </t>
  </si>
  <si>
    <t>20241700631</t>
  </si>
  <si>
    <t>team 33</t>
  </si>
  <si>
    <t>محمد صابر علي يوسف</t>
  </si>
  <si>
    <t>2022170372</t>
  </si>
  <si>
    <t>محمد احمد محمد سيد</t>
  </si>
  <si>
    <t>2022170350</t>
  </si>
  <si>
    <t>محمود عبد المنعم عبد العظيم عبد المنعم</t>
  </si>
  <si>
    <t>2022170923</t>
  </si>
  <si>
    <t>عمر وليد محمد اسماعيل</t>
  </si>
  <si>
    <t>20241701619@cis.asu.edu.eg</t>
  </si>
  <si>
    <t>owm.tech.ai@gmail.com</t>
  </si>
  <si>
    <t>01145067508</t>
  </si>
  <si>
    <t>01156272738</t>
  </si>
  <si>
    <t>20241700037@cis.asu.edu.eg</t>
  </si>
  <si>
    <t>Yousif Ahmed</t>
  </si>
  <si>
    <t>عابد تامر بهاء الدين ابراهيم</t>
  </si>
  <si>
    <t>20251701720@cis.asu.edu.eg</t>
  </si>
  <si>
    <t>abedtamer2007@gmail.com</t>
  </si>
  <si>
    <t>01111400800</t>
  </si>
  <si>
    <t>شهد خالد محمدى ابراهيم احمد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</si>
  <si>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</si>
  <si>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20251700396@cis.asu.edu.eg</t>
  </si>
  <si>
    <t>medhatamr849@gmail.com</t>
  </si>
  <si>
    <t>01157276686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</si>
  <si>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</si>
  <si>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20251701232@cis.asu.edu.eg</t>
  </si>
  <si>
    <t>m7mdmajid999@gmail.com</t>
  </si>
  <si>
    <t>01204856164</t>
  </si>
  <si>
    <t>أنس أحمد عيسى أحمد عبد الجواد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</si>
  <si>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</si>
  <si>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20251701110@cis.asu.edu.eg</t>
  </si>
  <si>
    <t>pubgeeej@gmail.com</t>
  </si>
  <si>
    <t>01003495789</t>
  </si>
  <si>
    <t>01006530285</t>
  </si>
  <si>
    <t>20241700044@cis.asu.edu.eg</t>
  </si>
  <si>
    <t>20251701070</t>
  </si>
  <si>
    <t>عمر محمود محمد عبد اللطيف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</si>
  <si>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</si>
  <si>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20251701070@cis.asu.edu.eg</t>
  </si>
  <si>
    <t>omarmahmoud.3rish@gmail.com</t>
  </si>
  <si>
    <t>01005022650</t>
  </si>
  <si>
    <t>يحيى صلاح الدين عباس السمان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</si>
  <si>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</si>
  <si>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20251700957@cis.asu.edu.eg</t>
  </si>
  <si>
    <t>killuahd049@gmail.com</t>
  </si>
  <si>
    <t>01069859100</t>
  </si>
  <si>
    <t>محمود ياسر محمد محمد</t>
  </si>
  <si>
    <t>2023170563@cis.asu.edu.eg</t>
  </si>
  <si>
    <t>mnasr7145@gmail.com</t>
  </si>
  <si>
    <t>01022564799</t>
  </si>
  <si>
    <t>ابراهيم محمد يسري احمد محمد</t>
  </si>
  <si>
    <t>نظم المعلومات/ Information Systems</t>
  </si>
  <si>
    <t>30507272106314@cis.asu.edu.eg</t>
  </si>
  <si>
    <t>gerges381@gmail.com</t>
  </si>
  <si>
    <t>01201318124</t>
  </si>
  <si>
    <t>2025170067</t>
  </si>
  <si>
    <t>محمد احمد روبى سعيد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</si>
  <si>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</si>
  <si>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20251700667@cis.asu.edu.eg</t>
  </si>
  <si>
    <t>mohamroby9@gmail.com</t>
  </si>
  <si>
    <t>01034225722</t>
  </si>
  <si>
    <t>2023170530@cis.asu.edu.eg</t>
  </si>
  <si>
    <t>m7050245@gmail.com</t>
  </si>
  <si>
    <t>01008438632</t>
  </si>
  <si>
    <t>رضوي علاء الدين ابراهيم مصطفى</t>
  </si>
  <si>
    <t>01090342957</t>
  </si>
  <si>
    <t>20251701133@cis.asu.edu.eg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</si>
  <si>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</si>
  <si>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roro20alaa@gmail.com</t>
  </si>
  <si>
    <t>20241700113</t>
  </si>
  <si>
    <t>اسلام اسامه فتحي طلبه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</si>
  <si>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</si>
  <si>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30506180103495@cis.asu.edu.eg</t>
  </si>
  <si>
    <t>eslam27osama@gmail.com</t>
  </si>
  <si>
    <t>01027551706</t>
  </si>
  <si>
    <t>سارة رضا عبداللطيف أحمد عيد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</si>
  <si>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</si>
  <si>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2025170116@cis.asu.edu.eg</t>
  </si>
  <si>
    <t>sarare248@gmail.com</t>
  </si>
  <si>
    <t>01070286643</t>
  </si>
  <si>
    <t>01206477824</t>
  </si>
  <si>
    <t>20241700014@cis.asu.edu.eg</t>
  </si>
  <si>
    <t>2023170572@cis.asu.edu.eg</t>
  </si>
  <si>
    <t>marwancasemiro@gmail.com</t>
  </si>
  <si>
    <t>01008667144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</si>
  <si>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</si>
  <si>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20251700832@cis.asu.edu.eg</t>
  </si>
  <si>
    <t>malakmahana394@gmail.com</t>
  </si>
  <si>
    <t>01026767187</t>
  </si>
  <si>
    <t>20241700167</t>
  </si>
  <si>
    <t>ايوان عصام الدين عبد الفضيل محمد الجوهري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</si>
  <si>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</si>
  <si>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20241700167@cis.asu.edu.eg</t>
  </si>
  <si>
    <t>asseressam56@gmail.com</t>
  </si>
  <si>
    <t>01271165108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</si>
  <si>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</si>
  <si>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20241701096@cis.asu.edu.eg</t>
  </si>
  <si>
    <t>01002508159</t>
  </si>
  <si>
    <t>omarkhairt88@gmail.com</t>
  </si>
  <si>
    <t>20251700235@cis.asu.edu.eg</t>
  </si>
  <si>
    <t>01115691359</t>
  </si>
  <si>
    <t>Ibrahim Yousry</t>
  </si>
  <si>
    <t>سيف الدين علاء عبد الحكيم سويد</t>
  </si>
  <si>
    <t>Computer Systems</t>
  </si>
  <si>
    <t>2022170197@cis.asu.edu.eg</t>
  </si>
  <si>
    <t>seifalaa1172003@gmail.com</t>
  </si>
  <si>
    <t>01554606632</t>
  </si>
  <si>
    <t>2023170667@cis.asu.edu.eg</t>
  </si>
  <si>
    <t>nosaibamostafa980@gmail.com</t>
  </si>
  <si>
    <t>01033276015</t>
  </si>
  <si>
    <t>01128165348</t>
  </si>
  <si>
    <t>20241701173@cis.asu.edu.eg</t>
  </si>
  <si>
    <t>20251700516</t>
  </si>
  <si>
    <t>عمر حسين محمد السيد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</si>
  <si>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</si>
  <si>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20251700516@cis.asu.edu.eg</t>
  </si>
  <si>
    <t>supzora06@gmail.com</t>
  </si>
  <si>
    <t>01013436887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</si>
  <si>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</si>
  <si>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20241700510@cis.asu.edu.eg</t>
  </si>
  <si>
    <t>at010abdallha@gmail.com</t>
  </si>
  <si>
    <t>01005344368</t>
  </si>
  <si>
    <t>مهرائيل نسيم وليم توفيق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</si>
  <si>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</si>
  <si>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20251700862@cis.asu.edu.eg</t>
  </si>
  <si>
    <t>mohraelnesim@gmail.com</t>
  </si>
  <si>
    <t>01282444161</t>
  </si>
  <si>
    <t>01201116554</t>
  </si>
  <si>
    <t>20241700290@cis.asu.edu.eg</t>
  </si>
  <si>
    <t>أحمد حامد جلال حسن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</si>
  <si>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</si>
  <si>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20251700019@cis.asu.edu.eg</t>
  </si>
  <si>
    <t>ahmedhamed3459@gmail.com</t>
  </si>
  <si>
    <t>01121600916</t>
  </si>
  <si>
    <t>عامر وحيد هلال فرج</t>
  </si>
  <si>
    <t>Bioinformatics</t>
  </si>
  <si>
    <t>20241701556@cis.asu.edu.eg</t>
  </si>
  <si>
    <t>amerwaheed.1256@gmail.com</t>
  </si>
  <si>
    <t>01150694978</t>
  </si>
  <si>
    <t>01278995597</t>
  </si>
  <si>
    <t>20251700250@cis.asu.edu.eg</t>
  </si>
  <si>
    <t>حسن هانى حسن محمد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</si>
  <si>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</si>
  <si>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hasangharba@gmail.com</t>
  </si>
  <si>
    <t>2023170240@cis.asu.edu.eg</t>
  </si>
  <si>
    <t>ziad.magdy1234@gmail.com</t>
  </si>
  <si>
    <t>01010101358</t>
  </si>
  <si>
    <t>20251700564</t>
  </si>
  <si>
    <t>قادي مبروك وليم جرجس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</si>
  <si>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</si>
  <si>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20251700564@cis.asu.edu.eg</t>
  </si>
  <si>
    <t>fadymabrouk981@gmail.com</t>
  </si>
  <si>
    <t>01274899250</t>
  </si>
  <si>
    <t>01032860895</t>
  </si>
  <si>
    <t>مهرائيل مرقس جوزيف حليم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</si>
  <si>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</si>
  <si>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20251700859@cis.asu.edu.eg</t>
  </si>
  <si>
    <t>mahraeelmorgos064@gmail.com</t>
  </si>
  <si>
    <t>01070831840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</si>
  <si>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</si>
  <si>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20251700704@cis.asu.edu.eg</t>
  </si>
  <si>
    <t>matef792007@gmail.com</t>
  </si>
  <si>
    <t>01156625722</t>
  </si>
  <si>
    <t>Yasmin salah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</si>
  <si>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</si>
  <si>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alaaemadahmed@gmail.com</t>
  </si>
  <si>
    <t>20241700924</t>
  </si>
  <si>
    <t>نور احمد محمد احمد يوسف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</si>
  <si>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</si>
  <si>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20241700924@cis.asu.edu.eg</t>
  </si>
  <si>
    <t>nouryoussef36@gmail.com</t>
  </si>
  <si>
    <t>01274909814</t>
  </si>
  <si>
    <t>2023170234@cis.asu.edu.eg</t>
  </si>
  <si>
    <t>shalabyziad1@gmail.com</t>
  </si>
  <si>
    <t>01017922067</t>
  </si>
  <si>
    <t>الذكاء الاصطناعي/ Artificial Intelligence</t>
  </si>
  <si>
    <t>يسى ايمن فؤاد حكيم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</si>
  <si>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</si>
  <si>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20251700960@cis.asu.edu.eg</t>
  </si>
  <si>
    <t>yassaking776@gmail.com</t>
  </si>
  <si>
    <t>01221685105</t>
  </si>
  <si>
    <t>عمر احمد محمد اسماعيل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</si>
  <si>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</si>
  <si>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omarahmed3292@gmail.com</t>
  </si>
  <si>
    <t>2023170058@cis.asu.edu.eg</t>
  </si>
  <si>
    <t>mm01114264311@gmail.com</t>
  </si>
  <si>
    <t>01229152104</t>
  </si>
  <si>
    <t>2023170223</t>
  </si>
  <si>
    <t>روان عادل محمد ربيع عبدالسميع عبدالعال</t>
  </si>
  <si>
    <t>2023170223@cis.asu.edu.eg</t>
  </si>
  <si>
    <t>rawanadel462005@gmail.com</t>
  </si>
  <si>
    <t>01020404813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</si>
  <si>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</si>
  <si>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20241700341@cis.asu.edu.eg</t>
  </si>
  <si>
    <t>ziadazaro69@gmail.com</t>
  </si>
  <si>
    <t>01289718590</t>
  </si>
  <si>
    <t>مروان خالد عبد الجواد الاسود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</si>
  <si>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</si>
  <si>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marwankhaled232200888@gmail.com</t>
  </si>
  <si>
    <t>بلال محمد عشري عبدالمهدى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</si>
  <si>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</si>
  <si>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20251701155@cis.asu.edu.eg</t>
  </si>
  <si>
    <t>engbelalais2025@gmail.com</t>
  </si>
  <si>
    <t>01098464575</t>
  </si>
  <si>
    <t>نورين شريف عبدالفتاح شاهين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</si>
  <si>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</si>
  <si>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20241700943@cis.asu.edu.eg</t>
  </si>
  <si>
    <t>noreensherif90@gmail.com</t>
  </si>
  <si>
    <t>01130599015</t>
  </si>
  <si>
    <t>2023170212@cis.asu.edu.eg</t>
  </si>
  <si>
    <t>roaatahaemail@gmail.com</t>
  </si>
  <si>
    <t>01149245333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</si>
  <si>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</si>
  <si>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20241701169@cis.asu.edu.eg</t>
  </si>
  <si>
    <t>nourf8270@gmail.com</t>
  </si>
  <si>
    <t>01067336765</t>
  </si>
  <si>
    <t>Shreif</t>
  </si>
  <si>
    <t>0 10 98464575</t>
  </si>
  <si>
    <t>012 22241442</t>
  </si>
  <si>
    <t>2023170466@cis.asu.edu.eg</t>
  </si>
  <si>
    <t>0 11 00183776</t>
  </si>
  <si>
    <t>20251701144@cis.asu.edu.eg</t>
  </si>
  <si>
    <t>تقنية المعلومات الحيوية/ Bioinformatics</t>
  </si>
  <si>
    <t>Abdelrahman Sanad</t>
  </si>
  <si>
    <t>01031301246</t>
  </si>
  <si>
    <t>20241700581@cis.asu.edu.eg</t>
  </si>
  <si>
    <t>01011892881</t>
  </si>
  <si>
    <t>20241700741@cis.asu.edu.eg</t>
  </si>
  <si>
    <t>01111852275</t>
  </si>
  <si>
    <t>20241700047@cis.asu.edu.eg</t>
  </si>
  <si>
    <t>01021470303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</si>
  <si>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</si>
  <si>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20241700409@cis.asu.edu.eg</t>
  </si>
  <si>
    <t>30702241402591@cis.asu.edu.eg</t>
  </si>
  <si>
    <t>Esraa</t>
  </si>
  <si>
    <t>marwanabdelrhman2007@gmail.com</t>
  </si>
  <si>
    <t>01022665361</t>
  </si>
  <si>
    <t>محمد أحمد السيد محمود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</si>
  <si>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</si>
  <si>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20251700666@cis.asu.edu.eg</t>
  </si>
  <si>
    <t>m3177940@gmail.com</t>
  </si>
  <si>
    <t>01155699682</t>
  </si>
  <si>
    <t>ماريو فوزي وليم قدوس</t>
  </si>
  <si>
    <t>mariofawzy77@gmail.com</t>
  </si>
  <si>
    <t>01222241442</t>
  </si>
  <si>
    <t>01121319322</t>
  </si>
  <si>
    <t>20241700515@cis.asu.edu.eg</t>
  </si>
  <si>
    <t>محمود أحمد رأفت عبدالهادي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</si>
  <si>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</si>
  <si>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mahmoud.a.raafat05@gmail.com</t>
  </si>
  <si>
    <t>20251701610</t>
  </si>
  <si>
    <t>روان ياسر عبد السلام حسن سلامه</t>
  </si>
  <si>
    <t>20251701610@cis.asu.edu.eg</t>
  </si>
  <si>
    <t>علوم الحاسب/ Computer Science</t>
  </si>
  <si>
    <t>rawany083@gmail.com</t>
  </si>
  <si>
    <t>01554413885</t>
  </si>
  <si>
    <t>01091878621</t>
  </si>
  <si>
    <t>2023170213@cis.asu.edu.eg</t>
  </si>
  <si>
    <t>20241700163</t>
  </si>
  <si>
    <t>ايه حسين سلطان</t>
  </si>
  <si>
    <t>ملخص الفرق (يُحدث بعد إدخال درجات البروجيكت)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</si>
  <si>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</si>
  <si>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20241700163@cis.asu.edu.eg</t>
  </si>
  <si>
    <t>ayah78829@gmail.com</t>
  </si>
  <si>
    <t>01013385280</t>
  </si>
  <si>
    <t>عدد الطلاب</t>
  </si>
  <si>
    <t>متوسط المعدل النهائي</t>
  </si>
  <si>
    <t>عدد الناجحين</t>
  </si>
  <si>
    <t>نسبة النجاح</t>
  </si>
  <si>
    <t>كريم حافظ سيد حافظ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</si>
  <si>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</si>
  <si>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20241700631@cis.asu.edu.eg</t>
  </si>
  <si>
    <t>karimhafezbmw@gmail.com</t>
  </si>
  <si>
    <t>01122724111</t>
  </si>
  <si>
    <t>01157189838</t>
  </si>
  <si>
    <t>2023170014@cis.asu.edu.eg</t>
  </si>
  <si>
    <t>20251701542</t>
  </si>
  <si>
    <t>ندى محمود عبد العال</t>
  </si>
  <si>
    <t>Cybersecurity</t>
  </si>
  <si>
    <t>20251701542@cis.asu.edu.eg</t>
  </si>
  <si>
    <t>nadoshmahmoud23@gmail.com</t>
  </si>
  <si>
    <t>01206795085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</si>
  <si>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</si>
  <si>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sar857amn@gmail.com</t>
  </si>
  <si>
    <t>01002492916</t>
  </si>
  <si>
    <t>2023170020@cis.asu.edu.eg</t>
  </si>
  <si>
    <t>20231700255</t>
  </si>
  <si>
    <t>نعمه ياسين عبدالمحسن عبدالله</t>
  </si>
  <si>
    <t>20231700255@cis.asu.edu.eg</t>
  </si>
  <si>
    <t>neamakhoder5@gmail.com</t>
  </si>
  <si>
    <t>01080823912</t>
  </si>
  <si>
    <t>زينب علاء علي ابراهيم</t>
  </si>
  <si>
    <t>2023170249@cis.asu.edu.eg</t>
  </si>
  <si>
    <t>zeinabalaa2468@gmail.com</t>
  </si>
  <si>
    <t>01027986405</t>
  </si>
  <si>
    <t>2022170632</t>
  </si>
  <si>
    <t>وئام احمد محمد عزالدين</t>
  </si>
  <si>
    <t>2022170632@cis.asu.edu.eg</t>
  </si>
  <si>
    <t>wemo21ezz@gmail.com</t>
  </si>
  <si>
    <t>01067769465</t>
  </si>
  <si>
    <t>2023170302</t>
  </si>
  <si>
    <t>شهد مازن عطية السيد</t>
  </si>
  <si>
    <t>2023170302@cis.asu.edu.eg</t>
  </si>
  <si>
    <t>shahdmazen50@gmail.com</t>
  </si>
  <si>
    <t>01023607719</t>
  </si>
  <si>
    <t>حبيبة إبراهيم سيد عواض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</si>
  <si>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</si>
  <si>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20241700244@cis.asu.edu.eg</t>
  </si>
  <si>
    <t>ihabiba165@gmail.com</t>
  </si>
  <si>
    <t>01210308112</t>
  </si>
  <si>
    <t>فادي سلامة نجيب عبد الملاك</t>
  </si>
  <si>
    <t>2023170417@cis.asu.edu.eg</t>
  </si>
  <si>
    <t>f01275261645@gmail.com</t>
  </si>
  <si>
    <t>01212754766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</si>
  <si>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</si>
  <si>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20241701016@cis.asu.edu.eg</t>
  </si>
  <si>
    <t>yousefsayed622@gmail.com</t>
  </si>
  <si>
    <t>01027763544</t>
  </si>
  <si>
    <t>20251701012</t>
  </si>
  <si>
    <t>يوسف محمد محمد بدر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</si>
  <si>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</si>
  <si>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20251701012@cis.asu.edu.eg</t>
  </si>
  <si>
    <t>youssefelbaz12346789@gmail.com</t>
  </si>
  <si>
    <t>01111565409</t>
  </si>
  <si>
    <t>bishoy.amgad71@gmail.com</t>
  </si>
  <si>
    <t>01012432324</t>
  </si>
  <si>
    <t>20241700953@cis.asu.edu.eg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</si>
  <si>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</si>
  <si>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khaledelsabaa697@gmail.com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</si>
  <si>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</si>
  <si>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20241701056@cis.asu.edu.eg</t>
  </si>
  <si>
    <t>abdoharb01000@gmail.com</t>
  </si>
  <si>
    <t>01016753319</t>
  </si>
  <si>
    <t>يوسف احمد محمود يوسف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</si>
  <si>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</si>
  <si>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30709291402341@cis.asu.edu.eg</t>
  </si>
  <si>
    <t>asmaaahmedcis@gmail.com</t>
  </si>
  <si>
    <t>سما عمرو عبدالرحمن سعد السيد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</si>
  <si>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</si>
  <si>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sam3elsaid@gmail.com</t>
  </si>
  <si>
    <t>Mohamed Taher</t>
  </si>
  <si>
    <t>2022170068</t>
  </si>
  <si>
    <t>الحسن محمد حسن علي</t>
  </si>
  <si>
    <r>
      <rPr>
        <sz val="11"/>
        <color theme="1"/>
        <rFont val="Calibri"/>
      </rPr>
      <t xml:space="preserve">Level 4 </t>
    </r>
    <r>
      <rPr>
        <sz val="11"/>
        <color theme="1"/>
        <rFont val="Noto Sans"/>
      </rPr>
      <t>فقط في حالة الاحتياج لتدريب صيفي لدواعي التخرج</t>
    </r>
  </si>
  <si>
    <t>2022170068@cis.asu.edu.eg</t>
  </si>
  <si>
    <t>alhasanmohamedcs308@gmail.com</t>
  </si>
  <si>
    <t>01152143149</t>
  </si>
  <si>
    <t>أية هاني محمود مصطفى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</si>
  <si>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</si>
  <si>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20241700155@cis.asu.edu.eg</t>
  </si>
  <si>
    <t>ah9705292@gmail.com</t>
  </si>
  <si>
    <t>01007637837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</si>
  <si>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</si>
  <si>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123opomar5@gmail.com</t>
  </si>
  <si>
    <t>هايدي محمد عبدالفتاح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</si>
  <si>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</si>
  <si>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haidyelberkawy5@gmail.com</t>
  </si>
  <si>
    <t>2018170229</t>
  </si>
  <si>
    <t>عبدالله عصام عبدالله احمد</t>
  </si>
  <si>
    <r>
      <rPr>
        <sz val="11"/>
        <color theme="1"/>
        <rFont val="Calibri"/>
      </rPr>
      <t xml:space="preserve">Level 4 </t>
    </r>
    <r>
      <rPr>
        <sz val="11"/>
        <color theme="1"/>
        <rFont val="Noto Sans"/>
      </rPr>
      <t>فقط في حالة الاحتياج لتدريب صيفي لدواعي التخرج</t>
    </r>
  </si>
  <si>
    <t>abdullah2018170229@cis.asu.edu.eg</t>
  </si>
  <si>
    <t>abdullahessam992@gmail.com</t>
  </si>
  <si>
    <t>01153143898</t>
  </si>
  <si>
    <t>احمد عبدالله عمر عبدالله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</si>
  <si>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</si>
  <si>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ahmedabdallabebo25@gmail.com</t>
  </si>
  <si>
    <t>01202887055</t>
  </si>
  <si>
    <t>20241700967@cis.asu.edu.eg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</si>
  <si>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</si>
  <si>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adamatito12@gmail.com</t>
  </si>
  <si>
    <t>01009472365</t>
  </si>
  <si>
    <t>20251700290@cis.asu.edu.eg</t>
  </si>
  <si>
    <t>Seif Walled</t>
  </si>
  <si>
    <t>بيشوى كرم أسعد زكى</t>
  </si>
  <si>
    <t>beshoy1612.karam@gmail.com</t>
  </si>
  <si>
    <t>محمد ماجد صبري علي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</si>
  <si>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</si>
  <si>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20241700742@cis.asu.edu.eg</t>
  </si>
  <si>
    <t>mm22muhammad@gmail.com</t>
  </si>
  <si>
    <t>01027888498</t>
  </si>
  <si>
    <t>01285581589</t>
  </si>
  <si>
    <t>20251700202@cis.asu.edu.eg</t>
  </si>
  <si>
    <t>0 11 55699682</t>
  </si>
  <si>
    <t>0 11 14517475</t>
  </si>
  <si>
    <t>20251700408@cis.asu.edu.eg</t>
  </si>
  <si>
    <t>Ibrahim yousry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</si>
  <si>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</si>
  <si>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20241700036@cis.asu.edu.eg</t>
  </si>
  <si>
    <t>ahmed.sherif.official29@gmail.com</t>
  </si>
  <si>
    <t>01002879935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</si>
  <si>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</si>
  <si>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georgealfred1910@gmail.com</t>
  </si>
  <si>
    <t>20251700277</t>
  </si>
  <si>
    <t>روان طافور ابراهيم احمد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</si>
  <si>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</si>
  <si>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20251700277@cis.asu.edu.eg</t>
  </si>
  <si>
    <t>rawantafour1@gmail.com</t>
  </si>
  <si>
    <t>01204827331</t>
  </si>
  <si>
    <t>01553337276</t>
  </si>
  <si>
    <t>2023170495@cis.asu.edu.eg</t>
  </si>
  <si>
    <t>2023170364</t>
  </si>
  <si>
    <t>عثمان محمود عيسي</t>
  </si>
  <si>
    <t>2023170364@cis.asu.edu.eg</t>
  </si>
  <si>
    <t>osmancilqabe@gmail.com</t>
  </si>
  <si>
    <t>01130367207</t>
  </si>
  <si>
    <t>بلال حسين حلمي علي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</si>
  <si>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</si>
  <si>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maraimyasser23@gmail.com</t>
  </si>
  <si>
    <t>01001153283</t>
  </si>
  <si>
    <t>01152683383</t>
  </si>
  <si>
    <t>محمود حماده محمود علي محمد</t>
  </si>
  <si>
    <t>2022170358@cis.asu.edu.eg</t>
  </si>
  <si>
    <t>2023170553@cis.asu.edu.eg</t>
  </si>
  <si>
    <t>mahmoudnasr01128221266@gmail.com</t>
  </si>
  <si>
    <t>01128221266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</si>
  <si>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</si>
  <si>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engineermohamedragab@gmail.com</t>
  </si>
  <si>
    <t>Robotics</t>
  </si>
  <si>
    <t>20251701801@cis.asu.edu.eg</t>
  </si>
  <si>
    <t>ahmadido2008@gmail.com</t>
  </si>
  <si>
    <t>01155180103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</si>
  <si>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</si>
  <si>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ahmedsaber4939@gmail.com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</si>
  <si>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</si>
  <si>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ahmedadeldiab123@gmail.com</t>
  </si>
  <si>
    <t>صلاح طاهر حسني عبد الغني علي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</si>
  <si>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</si>
  <si>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salahtaher794@gmail.com</t>
  </si>
  <si>
    <t>01114517475</t>
  </si>
  <si>
    <t>01090694161</t>
  </si>
  <si>
    <t>20251700101@cis.asu.edu.eg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</si>
  <si>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</si>
  <si>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ahmedabosrea000@gmail.com</t>
  </si>
  <si>
    <t>مرام ياسر علي السيد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</si>
  <si>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</si>
  <si>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maramyassir610@gmail.com</t>
  </si>
  <si>
    <t>01128972875</t>
  </si>
  <si>
    <t>2021170551</t>
  </si>
  <si>
    <t>منة الله حسن عفيفي حسين</t>
  </si>
  <si>
    <r>
      <rPr>
        <sz val="11"/>
        <color theme="1"/>
        <rFont val="Calibri"/>
      </rPr>
      <t xml:space="preserve">Level 4 </t>
    </r>
    <r>
      <rPr>
        <sz val="11"/>
        <color theme="1"/>
        <rFont val="Noto Sans"/>
      </rPr>
      <t>فقط في حالة الاحتياج لتدريب صيفي لدواعي التخرج</t>
    </r>
  </si>
  <si>
    <t>2021170551@cis.asu.edu.eg</t>
  </si>
  <si>
    <t>mennahassan101m@gmail.com</t>
  </si>
  <si>
    <t>01157580677</t>
  </si>
  <si>
    <t>2022170350@cis.asu.edu.eg</t>
  </si>
  <si>
    <t>syd383788@gmail.com</t>
  </si>
  <si>
    <t>01010063883</t>
  </si>
  <si>
    <t>عمر هشام محمد ابو بكر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</si>
  <si>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</si>
  <si>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omarhes311@gmail.com</t>
  </si>
  <si>
    <t>اشرف ابراهيم حسن محمد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</si>
  <si>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</si>
  <si>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ashrafebraheemhassen2@gmail.com</t>
  </si>
  <si>
    <t>20241700141</t>
  </si>
  <si>
    <t>اميره طارق حسن عبدالوهاب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</si>
  <si>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</si>
  <si>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20241700141@cis.asu.edu.eg</t>
  </si>
  <si>
    <t>amiratarekhassan90@gmail.com</t>
  </si>
  <si>
    <t>01040520989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</si>
  <si>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</si>
  <si>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Ywsf.alsyd19551@cis.asu.edu.eg</t>
  </si>
  <si>
    <t>youssefwaleed2462006@gmail.com</t>
  </si>
  <si>
    <t>01118303261</t>
  </si>
  <si>
    <t>20241701614</t>
  </si>
  <si>
    <t>سلمى شريف محمد ضياء الدين محمد محمود خضر</t>
  </si>
  <si>
    <t>20241701614@cis.asu.edu.eg</t>
  </si>
  <si>
    <t>salmasherif2006@gmail.com</t>
  </si>
  <si>
    <t>01030399883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</si>
  <si>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</si>
  <si>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ziadalrefaey6@gmail.com</t>
  </si>
  <si>
    <t>20231700231</t>
  </si>
  <si>
    <t>عبدالله هاني أحمد رأفت</t>
  </si>
  <si>
    <t>20231700231@cis.asu.edu.eg</t>
  </si>
  <si>
    <t>abdullahhany16@gmail.com</t>
  </si>
  <si>
    <t>01146699598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</si>
  <si>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</si>
  <si>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20241700761@cis.asu.edu.eg</t>
  </si>
  <si>
    <t>mohamedalrifai54@gmail.com</t>
  </si>
  <si>
    <t>01032049953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</si>
  <si>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</si>
  <si>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sama.abbas.sayed@gmail.com</t>
  </si>
  <si>
    <t>01069262702</t>
  </si>
  <si>
    <t>ياسمين حسام عادل حسانين محمد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</si>
  <si>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</si>
  <si>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yasminhosam003@gmail.com</t>
  </si>
  <si>
    <r>
      <rPr>
        <sz val="11"/>
        <color theme="1"/>
        <rFont val="Calibri"/>
      </rPr>
      <t xml:space="preserve">Level 4 </t>
    </r>
    <r>
      <rPr>
        <sz val="11"/>
        <color theme="1"/>
        <rFont val="Noto Sans"/>
      </rPr>
      <t>فقط في حالة الاحتياج لتدريب صيفي لدواعي التخرج</t>
    </r>
  </si>
  <si>
    <t>2022170372@cis.asu.edu.eg</t>
  </si>
  <si>
    <t>midoyoussef11108@gmail.com</t>
  </si>
  <si>
    <t>01202771936</t>
  </si>
  <si>
    <t>20241700185</t>
  </si>
  <si>
    <t>بلال احمد السيد احمد خلف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</si>
  <si>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</si>
  <si>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20241700185@cis.asu.edu.eg</t>
  </si>
  <si>
    <t>belalkhalaf658@gmail.com</t>
  </si>
  <si>
    <t>01013961371</t>
  </si>
  <si>
    <t>احمد حسن بيومي حسن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</si>
  <si>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</si>
  <si>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30707182104931@cis.asu.edu.eg</t>
  </si>
  <si>
    <t>ahmedhassanh367@gmail.com</t>
  </si>
  <si>
    <t>01100183776</t>
  </si>
  <si>
    <t>20241700910</t>
  </si>
  <si>
    <t>مينا روماني وليم فؤاد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</si>
  <si>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</si>
  <si>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20241700910@cis.asu.edu.eg</t>
  </si>
  <si>
    <t>minaromany4678@gmail.com</t>
  </si>
  <si>
    <t>01200987441</t>
  </si>
  <si>
    <t>نظم الحاسب / Computer Systems</t>
  </si>
  <si>
    <t>01552910261</t>
  </si>
  <si>
    <t>2023170730@cis.asu.edu.eg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</si>
  <si>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</si>
  <si>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20251701023@cis.asu.edu.eg</t>
  </si>
  <si>
    <t>yw72935@gmail.com</t>
  </si>
  <si>
    <t>01099442436</t>
  </si>
  <si>
    <t>علي محمد محمود الشافعي</t>
  </si>
  <si>
    <t>20241701617@cis.asu.edu.eg</t>
  </si>
  <si>
    <t>aly.mohamed.elshafei.1714@gmail.com</t>
  </si>
  <si>
    <t>01018553772</t>
  </si>
  <si>
    <t>حمزة طارق رشاد علي مرسي</t>
  </si>
  <si>
    <t>20241701611@cis.asu.edu.eg</t>
  </si>
  <si>
    <t>hamzatareq583@gmail.com</t>
  </si>
  <si>
    <t>01006831144</t>
  </si>
  <si>
    <t>عبدالرحمن عصام حسن علي علي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</si>
  <si>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</si>
  <si>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20241700483@cis.asu.edu.eg</t>
  </si>
  <si>
    <t>010 18553772</t>
  </si>
  <si>
    <t>abdelrhmanessamhasan@gmail.com</t>
  </si>
  <si>
    <t>01124526475</t>
  </si>
  <si>
    <r>
      <rPr>
        <sz val="11"/>
        <color theme="1"/>
        <rFont val="Calibri"/>
      </rPr>
      <t xml:space="preserve">Level 4 </t>
    </r>
    <r>
      <rPr>
        <sz val="11"/>
        <color theme="1"/>
        <rFont val="Noto Sans"/>
      </rPr>
      <t>فقط في حالة الاحتياج لتدريب صيفي لدواعي التخرج</t>
    </r>
  </si>
  <si>
    <t>2022170261@cis.asu.edu.eg</t>
  </si>
  <si>
    <t>alymohamedgg@gmail.com</t>
  </si>
  <si>
    <t>01155988607</t>
  </si>
  <si>
    <t>20241700848</t>
  </si>
  <si>
    <t>مصطفى معتز محمد أحمد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</si>
  <si>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</si>
  <si>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20241700848@cis.asu.edu.eg</t>
  </si>
  <si>
    <t>mostafa.aboelsoud23@gmail.com</t>
  </si>
  <si>
    <t>01093698026</t>
  </si>
  <si>
    <t>011 45067508</t>
  </si>
  <si>
    <t>20241700799</t>
  </si>
  <si>
    <t>مريام أيمن فؤاد ثابت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</si>
  <si>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</si>
  <si>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20241700799@cis.asu.edu.eg</t>
  </si>
  <si>
    <t>myriamthabet20u@gmail.com</t>
  </si>
  <si>
    <t>01554583128</t>
  </si>
  <si>
    <t>محمد كمال محمد كامل نجم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</si>
  <si>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</si>
  <si>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totanegm15@gmail.com</t>
  </si>
  <si>
    <t>الوسائط المتعددة/ Digital Multimedia</t>
  </si>
  <si>
    <t>011 29928971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</si>
  <si>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</si>
  <si>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20241700733@cis.asu.edu.eg</t>
  </si>
  <si>
    <t>zxsa90515@gmail.com</t>
  </si>
  <si>
    <t>01024022567</t>
  </si>
  <si>
    <t>010 06831144</t>
  </si>
  <si>
    <t>هيلانه اسعد عبد الشهيد ابراهيم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</si>
  <si>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</si>
  <si>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helanaasaad4@gmail.com</t>
  </si>
  <si>
    <t>عبدالله محمود عبد العزيز سليمان</t>
  </si>
  <si>
    <t>20241701557@cis.asu.edu.eg</t>
  </si>
  <si>
    <t>boodyeg2006@gmail.com</t>
  </si>
  <si>
    <t>01156145607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</si>
  <si>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</si>
  <si>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danielraafat62@gmail.com</t>
  </si>
  <si>
    <t>eldesouky292@gmail.com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</si>
  <si>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</si>
  <si>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20251700975@cis.asu.edu.eg</t>
  </si>
  <si>
    <t>youssef.e.hatem@gmail.com</t>
  </si>
  <si>
    <t>01020463758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</si>
  <si>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</si>
  <si>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my2545557@gmail.com</t>
  </si>
  <si>
    <t>20251700579</t>
  </si>
  <si>
    <t>فتحي محمد فتح محمد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</si>
  <si>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</si>
  <si>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17fathymohamed@cis.asu.edu.eg</t>
  </si>
  <si>
    <t>17fathymohamed@gmail.com</t>
  </si>
  <si>
    <t>01154159924</t>
  </si>
  <si>
    <t>20231700104</t>
  </si>
  <si>
    <t>احمد عمرو بدوي علي</t>
  </si>
  <si>
    <t>30406010104255@cis.asu.edu.eg</t>
  </si>
  <si>
    <t>ahmed.amrbadawy@gmail.com</t>
  </si>
  <si>
    <t>01154711585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</si>
  <si>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</si>
  <si>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20251700504@cis.asu.edu.eg</t>
  </si>
  <si>
    <t>omarahmed112323@gmail.com</t>
  </si>
  <si>
    <t>01004605290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</si>
  <si>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</si>
  <si>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1mohamedd14@gmail.com</t>
  </si>
  <si>
    <t>20251701116@cis.asu.edu.eg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</si>
  <si>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</si>
  <si>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20241700560@cis.asu.edu.eg</t>
  </si>
  <si>
    <t>omaryamany200508@gmail.com</t>
  </si>
  <si>
    <t>01144962104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</si>
  <si>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</si>
  <si>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ahmedessam13756@gmail.com</t>
  </si>
  <si>
    <t>20241700628</t>
  </si>
  <si>
    <t>كريم السيد محمد منصور</t>
  </si>
  <si>
    <r>
      <rPr>
        <sz val="11"/>
        <color theme="1"/>
        <rFont val="Calibri"/>
      </rPr>
      <t xml:space="preserve">General ( </t>
    </r>
    <r>
      <rPr>
        <sz val="11"/>
        <color theme="1"/>
        <rFont val="Noto Sans"/>
      </rPr>
      <t xml:space="preserve">طلاب المستوى الأول والثاني خلال العام الدراسي السابق </t>
    </r>
    <r>
      <rPr>
        <sz val="11"/>
        <color theme="1"/>
        <rFont val="Calibri"/>
      </rPr>
      <t>25-26)</t>
    </r>
  </si>
  <si>
    <t>20241700628@cis.asu.edu.eg</t>
  </si>
  <si>
    <t>kareemsayeedmansor@gmail.com</t>
  </si>
  <si>
    <t>01129651970</t>
  </si>
  <si>
    <t>General</t>
  </si>
  <si>
    <t>01111111111</t>
  </si>
  <si>
    <t>0111111111111</t>
  </si>
  <si>
    <t>01012814176</t>
  </si>
  <si>
    <t>Yasmeen Salah</t>
  </si>
  <si>
    <t>01555931605</t>
  </si>
  <si>
    <t>+20 11 44962104</t>
  </si>
  <si>
    <t>+20 10 05344368</t>
  </si>
  <si>
    <t>+20 10 08438632</t>
  </si>
  <si>
    <t>+20 10 10101358</t>
  </si>
  <si>
    <t>+20 10 17922067</t>
  </si>
  <si>
    <t>Ramez</t>
  </si>
  <si>
    <t>01098344384</t>
  </si>
  <si>
    <t>20241701175@cis.asu.edu.eg</t>
  </si>
  <si>
    <t>20241700049@cis.asu.eg</t>
  </si>
  <si>
    <t>Abdallah Mohammed</t>
  </si>
  <si>
    <t xml:space="preserve">الذكاء الاصطناعي/ Artificial </t>
  </si>
  <si>
    <t>20241700794@cis.asu.edu.eg</t>
  </si>
  <si>
    <t>Abdallah Hany</t>
  </si>
  <si>
    <t>المستوى الرابع/ Level 4</t>
  </si>
  <si>
    <t>Abdallah hany</t>
  </si>
  <si>
    <t>2023170720@cis.asu.edu.eg</t>
  </si>
  <si>
    <t>الروبوتات/ Robotics</t>
  </si>
  <si>
    <t>0 12 21685105</t>
  </si>
  <si>
    <t>0 11 22724111</t>
  </si>
  <si>
    <t xml:space="preserve">Abdelrahman Sanad     Yousif Ahmed </t>
  </si>
  <si>
    <t>0101006 3883</t>
  </si>
  <si>
    <t>CHP (SWE)</t>
  </si>
  <si>
    <t>0 10 11432236</t>
  </si>
  <si>
    <t>2022170923@cis.asu.edu.eg</t>
  </si>
  <si>
    <t>Final Score &amp; Best attendance</t>
  </si>
  <si>
    <t>Score Board (Top 15)</t>
  </si>
  <si>
    <t>Leader ID</t>
  </si>
  <si>
    <t>Supporter name</t>
  </si>
  <si>
    <t>Project Score</t>
  </si>
  <si>
    <t>Team member Individual socre</t>
  </si>
  <si>
    <t>Score board (top10)</t>
  </si>
  <si>
    <t>Attendance</t>
  </si>
  <si>
    <t>Attended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</si>
</sst>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16"/>
      <color rgb="FF1F4E79"/>
      <name val="Arial"/>
    </font>
    <font>
      <sz val="11"/>
      <color theme="1"/>
      <name val="Calibri"/>
    </font>
    <font>
      <b/>
      <sz val="12"/>
      <color theme="1"/>
      <name val="Arial"/>
    </font>
    <font>
      <b/>
      <sz val="11"/>
      <color rgb="FFFFFFFF"/>
      <name val="Arial"/>
    </font>
    <font>
      <sz val="10"/>
      <color theme="1"/>
      <name val="Arial"/>
    </font>
    <font>
      <b/>
      <sz val="9"/>
      <color rgb="FFFFFFFF"/>
      <name val="Arial"/>
    </font>
    <font>
      <sz val="11"/>
      <color theme="1"/>
      <name val="Noto Sans"/>
    </font>
    <font>
      <b/>
      <sz val="10"/>
      <color theme="1"/>
      <name val="Arial"/>
    </font>
    <font>
      <sz val="9"/>
      <color theme="1"/>
      <name val="Arial"/>
    </font>
    <font>
      <sz val="11"/>
      <name val="Calibri"/>
    </font>
    <font>
      <b/>
      <sz val="11"/>
      <color theme="1"/>
      <name val="Arial"/>
    </font>
    <font>
      <sz val="22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1F4E79"/>
        <bgColor rgb="FF1F4E79"/>
      </patternFill>
    </fill>
    <fill>
      <patternFill patternType="solid">
        <fgColor rgb="FFE8F0FE"/>
        <bgColor rgb="FFE8F0FE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  <bgColor rgb="FFFFFFFF"/>
      </patternFill>
    </fill>
    <fill>
      <patternFill patternType="solid">
        <fgColor rgb="FFC6EFCE"/>
        <bgColor rgb="FFC6EFCE"/>
      </patternFill>
    </fill>
    <fill>
      <patternFill patternType="solid">
        <fgColor rgb="FFFFF8E7"/>
        <bgColor rgb="FFFFF8E7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medium">
        <color rgb="FF1F4E79"/>
      </left>
      <right style="thin">
        <color rgb="FFD0D0D0"/>
      </right>
      <top style="medium">
        <color rgb="FF1F4E79"/>
      </top>
      <bottom/>
      <diagonal/>
    </border>
    <border>
      <left style="thin">
        <color rgb="FFD0D0D0"/>
      </left>
      <right style="thin">
        <color rgb="FFD0D0D0"/>
      </right>
      <top style="medium">
        <color rgb="FF1F4E79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medium">
        <color rgb="FF1F4E79"/>
      </top>
      <bottom/>
      <diagonal/>
    </border>
    <border>
      <left style="thin">
        <color rgb="FFD0D0D0"/>
      </left>
      <right style="medium">
        <color rgb="FF1F4E79"/>
      </right>
      <top style="medium">
        <color rgb="FF1F4E79"/>
      </top>
      <bottom style="thin">
        <color rgb="FFD0D0D0"/>
      </bottom>
      <diagonal/>
    </border>
    <border>
      <left style="medium">
        <color rgb="FF1F4E79"/>
      </left>
      <right style="thin">
        <color rgb="FFD0D0D0"/>
      </right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/>
      <bottom/>
      <diagonal/>
    </border>
    <border>
      <left style="thin">
        <color rgb="FFD0D0D0"/>
      </left>
      <right style="medium">
        <color rgb="FF1F4E79"/>
      </right>
      <top style="thin">
        <color rgb="FFD0D0D0"/>
      </top>
      <bottom style="thin">
        <color rgb="FFD0D0D0"/>
      </bottom>
      <diagonal/>
    </border>
    <border>
      <left style="medium">
        <color rgb="FF1F4E79"/>
      </left>
      <right style="thin">
        <color rgb="FFD0D0D0"/>
      </right>
      <top/>
      <bottom style="medium">
        <color rgb="FF1F4E79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medium">
        <color rgb="FF1F4E79"/>
      </bottom>
      <diagonal/>
    </border>
    <border>
      <left style="thin">
        <color rgb="FFD0D0D0"/>
      </left>
      <right style="thin">
        <color rgb="FFD0D0D0"/>
      </right>
      <top/>
      <bottom style="medium">
        <color rgb="FF1F4E79"/>
      </bottom>
      <diagonal/>
    </border>
    <border>
      <left style="thin">
        <color rgb="FFD0D0D0"/>
      </left>
      <right style="medium">
        <color rgb="FF1F4E79"/>
      </right>
      <top style="thin">
        <color rgb="FFD0D0D0"/>
      </top>
      <bottom style="medium">
        <color rgb="FF1F4E79"/>
      </bottom>
      <diagonal/>
    </border>
    <border>
      <left style="medium">
        <color rgb="FF1F4E79"/>
      </left>
      <right style="thin">
        <color rgb="FFD0D0D0"/>
      </right>
      <top/>
      <bottom style="thin">
        <color rgb="FFD0D0D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  <border>
      <left style="thin">
        <color rgb="FFB0B0B0"/>
      </left>
      <right style="thin">
        <color rgb="FFB0B0B0"/>
      </right>
      <top/>
      <bottom/>
      <diagonal/>
    </border>
  </borders>
  <cellStyleXfs count="1">
    <xf numFmtId="0" fontId="0" fillId="0" borderId="0"/>
  </cellStyleXfs>
  <cellXfs count="97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4" fillId="0" borderId="0" xfId="0" applyFont="1"/>
    <xf numFmtId="0" fontId="5" fillId="0" borderId="0" xfId="0" applyFont="1"/>
    <xf numFmtId="0" fontId="6" fillId="3" borderId="2" xfId="0" applyFont="1" applyFill="1" applyBorder="1"/>
    <xf numFmtId="0" fontId="7" fillId="0" borderId="2" xfId="0" applyFont="1" applyBorder="1"/>
    <xf numFmtId="0" fontId="8" fillId="3" borderId="3" xfId="0" applyFont="1" applyFill="1" applyBorder="1" applyAlignment="1">
      <alignment horizontal="center" vertical="center" wrapText="1"/>
    </xf>
    <xf numFmtId="0" fontId="9" fillId="0" borderId="0" xfId="0" applyFont="1"/>
    <xf numFmtId="0" fontId="8" fillId="3" borderId="2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49" fontId="8" fillId="3" borderId="2" xfId="0" applyNumberFormat="1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left" vertical="center"/>
    </xf>
    <xf numFmtId="0" fontId="7" fillId="5" borderId="5" xfId="0" applyFont="1" applyFill="1" applyBorder="1" applyAlignment="1">
      <alignment horizontal="center" vertical="center" wrapText="1"/>
    </xf>
    <xf numFmtId="0" fontId="11" fillId="4" borderId="5" xfId="0" applyFont="1" applyFill="1" applyBorder="1"/>
    <xf numFmtId="0" fontId="11" fillId="4" borderId="5" xfId="0" applyFont="1" applyFill="1" applyBorder="1" applyAlignment="1">
      <alignment wrapText="1"/>
    </xf>
    <xf numFmtId="0" fontId="7" fillId="4" borderId="7" xfId="0" applyFont="1" applyFill="1" applyBorder="1" applyAlignment="1">
      <alignment horizontal="center" vertical="center" wrapText="1"/>
    </xf>
    <xf numFmtId="164" fontId="4" fillId="6" borderId="5" xfId="0" applyNumberFormat="1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horizontal="left" vertical="center"/>
    </xf>
    <xf numFmtId="0" fontId="7" fillId="5" borderId="9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165" fontId="4" fillId="0" borderId="0" xfId="0" applyNumberFormat="1" applyFont="1"/>
    <xf numFmtId="164" fontId="4" fillId="6" borderId="5" xfId="0" applyNumberFormat="1" applyFont="1" applyFill="1" applyBorder="1"/>
    <xf numFmtId="2" fontId="4" fillId="6" borderId="5" xfId="0" applyNumberFormat="1" applyFont="1" applyFill="1" applyBorder="1"/>
    <xf numFmtId="0" fontId="7" fillId="4" borderId="13" xfId="0" applyFont="1" applyFill="1" applyBorder="1" applyAlignment="1">
      <alignment horizontal="center" vertical="center" wrapText="1"/>
    </xf>
    <xf numFmtId="0" fontId="7" fillId="4" borderId="13" xfId="0" applyFont="1" applyFill="1" applyBorder="1" applyAlignment="1">
      <alignment horizontal="left" vertical="center"/>
    </xf>
    <xf numFmtId="0" fontId="7" fillId="5" borderId="13" xfId="0" applyFont="1" applyFill="1" applyBorder="1" applyAlignment="1">
      <alignment horizontal="center" vertical="center" wrapText="1"/>
    </xf>
    <xf numFmtId="2" fontId="4" fillId="7" borderId="5" xfId="0" applyNumberFormat="1" applyFont="1" applyFill="1" applyBorder="1"/>
    <xf numFmtId="0" fontId="7" fillId="4" borderId="15" xfId="0" applyFont="1" applyFill="1" applyBorder="1" applyAlignment="1">
      <alignment horizontal="center" vertical="center" wrapText="1"/>
    </xf>
    <xf numFmtId="0" fontId="7" fillId="8" borderId="5" xfId="0" applyFont="1" applyFill="1" applyBorder="1" applyAlignment="1">
      <alignment horizontal="center" vertical="center" wrapText="1"/>
    </xf>
    <xf numFmtId="0" fontId="7" fillId="8" borderId="5" xfId="0" applyFont="1" applyFill="1" applyBorder="1" applyAlignment="1">
      <alignment horizontal="left" vertical="center"/>
    </xf>
    <xf numFmtId="0" fontId="7" fillId="8" borderId="7" xfId="0" applyFont="1" applyFill="1" applyBorder="1" applyAlignment="1">
      <alignment horizontal="center" vertical="center" wrapText="1"/>
    </xf>
    <xf numFmtId="0" fontId="7" fillId="8" borderId="9" xfId="0" applyFont="1" applyFill="1" applyBorder="1" applyAlignment="1">
      <alignment horizontal="center" vertical="center" wrapText="1"/>
    </xf>
    <xf numFmtId="0" fontId="7" fillId="8" borderId="9" xfId="0" applyFont="1" applyFill="1" applyBorder="1" applyAlignment="1">
      <alignment horizontal="left" vertical="center"/>
    </xf>
    <xf numFmtId="2" fontId="13" fillId="9" borderId="5" xfId="0" applyNumberFormat="1" applyFont="1" applyFill="1" applyBorder="1"/>
    <xf numFmtId="0" fontId="7" fillId="8" borderId="11" xfId="0" applyFont="1" applyFill="1" applyBorder="1" applyAlignment="1">
      <alignment horizontal="center" vertical="center" wrapText="1"/>
    </xf>
    <xf numFmtId="0" fontId="9" fillId="7" borderId="5" xfId="0" applyFont="1" applyFill="1" applyBorder="1" applyAlignment="1">
      <alignment horizontal="center"/>
    </xf>
    <xf numFmtId="0" fontId="13" fillId="7" borderId="7" xfId="0" applyFont="1" applyFill="1" applyBorder="1" applyAlignment="1">
      <alignment horizontal="center"/>
    </xf>
    <xf numFmtId="0" fontId="11" fillId="4" borderId="9" xfId="0" applyFont="1" applyFill="1" applyBorder="1"/>
    <xf numFmtId="0" fontId="11" fillId="4" borderId="9" xfId="0" applyFont="1" applyFill="1" applyBorder="1" applyAlignment="1">
      <alignment wrapText="1"/>
    </xf>
    <xf numFmtId="0" fontId="7" fillId="8" borderId="13" xfId="0" applyFont="1" applyFill="1" applyBorder="1" applyAlignment="1">
      <alignment horizontal="center" vertical="center" wrapText="1"/>
    </xf>
    <xf numFmtId="0" fontId="7" fillId="8" borderId="13" xfId="0" applyFont="1" applyFill="1" applyBorder="1" applyAlignment="1">
      <alignment horizontal="left" vertical="center"/>
    </xf>
    <xf numFmtId="164" fontId="4" fillId="6" borderId="9" xfId="0" applyNumberFormat="1" applyFont="1" applyFill="1" applyBorder="1" applyAlignment="1">
      <alignment horizontal="center" vertical="center" wrapText="1"/>
    </xf>
    <xf numFmtId="0" fontId="7" fillId="8" borderId="15" xfId="0" applyFont="1" applyFill="1" applyBorder="1" applyAlignment="1">
      <alignment horizontal="center" vertical="center" wrapText="1"/>
    </xf>
    <xf numFmtId="164" fontId="4" fillId="6" borderId="9" xfId="0" applyNumberFormat="1" applyFont="1" applyFill="1" applyBorder="1"/>
    <xf numFmtId="2" fontId="4" fillId="6" borderId="9" xfId="0" applyNumberFormat="1" applyFont="1" applyFill="1" applyBorder="1"/>
    <xf numFmtId="2" fontId="4" fillId="7" borderId="9" xfId="0" applyNumberFormat="1" applyFont="1" applyFill="1" applyBorder="1"/>
    <xf numFmtId="2" fontId="13" fillId="9" borderId="9" xfId="0" applyNumberFormat="1" applyFont="1" applyFill="1" applyBorder="1"/>
    <xf numFmtId="0" fontId="9" fillId="7" borderId="9" xfId="0" applyFont="1" applyFill="1" applyBorder="1" applyAlignment="1">
      <alignment horizontal="center"/>
    </xf>
    <xf numFmtId="0" fontId="13" fillId="7" borderId="11" xfId="0" applyFont="1" applyFill="1" applyBorder="1" applyAlignment="1">
      <alignment horizontal="center"/>
    </xf>
    <xf numFmtId="0" fontId="11" fillId="4" borderId="13" xfId="0" applyFont="1" applyFill="1" applyBorder="1"/>
    <xf numFmtId="0" fontId="11" fillId="4" borderId="13" xfId="0" applyFont="1" applyFill="1" applyBorder="1" applyAlignment="1">
      <alignment wrapText="1"/>
    </xf>
    <xf numFmtId="164" fontId="4" fillId="6" borderId="13" xfId="0" applyNumberFormat="1" applyFont="1" applyFill="1" applyBorder="1" applyAlignment="1">
      <alignment horizontal="center" vertical="center" wrapText="1"/>
    </xf>
    <xf numFmtId="164" fontId="4" fillId="6" borderId="13" xfId="0" applyNumberFormat="1" applyFont="1" applyFill="1" applyBorder="1"/>
    <xf numFmtId="2" fontId="4" fillId="6" borderId="13" xfId="0" applyNumberFormat="1" applyFont="1" applyFill="1" applyBorder="1"/>
    <xf numFmtId="2" fontId="4" fillId="7" borderId="13" xfId="0" applyNumberFormat="1" applyFont="1" applyFill="1" applyBorder="1"/>
    <xf numFmtId="2" fontId="13" fillId="9" borderId="13" xfId="0" applyNumberFormat="1" applyFont="1" applyFill="1" applyBorder="1"/>
    <xf numFmtId="0" fontId="9" fillId="7" borderId="13" xfId="0" applyFont="1" applyFill="1" applyBorder="1" applyAlignment="1">
      <alignment horizontal="center"/>
    </xf>
    <xf numFmtId="0" fontId="13" fillId="7" borderId="15" xfId="0" applyFont="1" applyFill="1" applyBorder="1" applyAlignment="1">
      <alignment horizontal="center"/>
    </xf>
    <xf numFmtId="0" fontId="11" fillId="10" borderId="5" xfId="0" applyFont="1" applyFill="1" applyBorder="1"/>
    <xf numFmtId="0" fontId="11" fillId="10" borderId="5" xfId="0" applyFont="1" applyFill="1" applyBorder="1" applyAlignment="1">
      <alignment wrapText="1"/>
    </xf>
    <xf numFmtId="0" fontId="11" fillId="10" borderId="9" xfId="0" applyFont="1" applyFill="1" applyBorder="1"/>
    <xf numFmtId="0" fontId="11" fillId="10" borderId="9" xfId="0" applyFont="1" applyFill="1" applyBorder="1" applyAlignment="1">
      <alignment wrapText="1"/>
    </xf>
    <xf numFmtId="0" fontId="11" fillId="10" borderId="13" xfId="0" applyFont="1" applyFill="1" applyBorder="1"/>
    <xf numFmtId="0" fontId="11" fillId="10" borderId="13" xfId="0" applyFont="1" applyFill="1" applyBorder="1" applyAlignment="1">
      <alignment wrapText="1"/>
    </xf>
    <xf numFmtId="0" fontId="4" fillId="0" borderId="2" xfId="0" applyFont="1" applyBorder="1"/>
    <xf numFmtId="2" fontId="4" fillId="0" borderId="2" xfId="0" applyNumberFormat="1" applyFont="1" applyBorder="1"/>
    <xf numFmtId="165" fontId="4" fillId="0" borderId="2" xfId="0" applyNumberFormat="1" applyFont="1" applyBorder="1"/>
    <xf numFmtId="0" fontId="0" fillId="0" borderId="0" xfId="0" applyAlignment="1">
      <alignment horizontal="center"/>
    </xf>
    <xf numFmtId="0" fontId="1" fillId="0" borderId="0" xfId="0" applyFont="1"/>
    <xf numFmtId="0" fontId="8" fillId="3" borderId="2" xfId="0" applyFont="1" applyFill="1" applyBorder="1" applyAlignment="1">
      <alignment horizontal="center" wrapText="1"/>
    </xf>
    <xf numFmtId="164" fontId="4" fillId="7" borderId="5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8" fillId="3" borderId="18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12" fillId="0" borderId="10" xfId="0" applyFont="1" applyBorder="1"/>
    <xf numFmtId="0" fontId="12" fillId="0" borderId="14" xfId="0" applyFont="1" applyBorder="1"/>
    <xf numFmtId="0" fontId="10" fillId="8" borderId="4" xfId="0" applyFont="1" applyFill="1" applyBorder="1" applyAlignment="1">
      <alignment horizontal="center" vertical="center" wrapText="1"/>
    </xf>
    <xf numFmtId="0" fontId="12" fillId="0" borderId="8" xfId="0" applyFont="1" applyBorder="1"/>
    <xf numFmtId="0" fontId="12" fillId="0" borderId="12" xfId="0" applyFont="1" applyBorder="1"/>
    <xf numFmtId="0" fontId="10" fillId="4" borderId="4" xfId="0" applyFont="1" applyFill="1" applyBorder="1" applyAlignment="1">
      <alignment horizontal="center" vertical="center" wrapText="1"/>
    </xf>
    <xf numFmtId="0" fontId="3" fillId="0" borderId="0" xfId="0" applyFont="1"/>
    <xf numFmtId="0" fontId="0" fillId="0" borderId="0" xfId="0"/>
    <xf numFmtId="0" fontId="14" fillId="11" borderId="1" xfId="0" applyFont="1" applyFill="1" applyBorder="1" applyAlignment="1">
      <alignment horizontal="center" vertical="center"/>
    </xf>
    <xf numFmtId="0" fontId="11" fillId="10" borderId="6" xfId="0" applyFont="1" applyFill="1" applyBorder="1" applyAlignment="1">
      <alignment horizontal="center" vertical="center" wrapText="1"/>
    </xf>
    <xf numFmtId="0" fontId="12" fillId="0" borderId="17" xfId="0" applyFont="1" applyBorder="1"/>
    <xf numFmtId="0" fontId="11" fillId="4" borderId="6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2" fillId="0" borderId="16" xfId="0" applyFont="1" applyBorder="1"/>
    <xf numFmtId="0" fontId="11" fillId="10" borderId="4" xfId="0" applyFont="1" applyFill="1" applyBorder="1" applyAlignment="1">
      <alignment horizontal="center" vertical="center" wrapText="1"/>
    </xf>
    <xf numFmtId="164" fontId="4" fillId="6" borderId="6" xfId="0" applyNumberFormat="1" applyFont="1" applyFill="1" applyBorder="1" applyAlignment="1">
      <alignment horizontal="center" vertical="center" wrapText="1"/>
    </xf>
    <xf numFmtId="0" fontId="15" fillId="11" borderId="0" xfId="0" applyFont="1" applyFill="1" applyAlignment="1">
      <alignment horizontal="center" vertical="center"/>
    </xf>
    <xf numFmtId="164" fontId="4" fillId="6" borderId="10" xfId="0" applyNumberFormat="1" applyFont="1" applyFill="1" applyBorder="1" applyAlignment="1">
      <alignment horizontal="center" vertical="center" wrapText="1"/>
    </xf>
    <xf numFmtId="164" fontId="4" fillId="6" borderId="14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4"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opLeftCell="A11" workbookViewId="0">
      <selection sqref="A1:F1"/>
    </sheetView>
  </sheetViews>
  <sheetFormatPr defaultColWidth="14.3984375" defaultRowHeight="15" customHeight="1" x14ac:dyDescent="0.3"/>
  <cols>
    <col min="1" max="1" width="45" customWidth="1"/>
    <col min="2" max="4" width="15" customWidth="1"/>
    <col min="5" max="26" width="8.69921875" customWidth="1"/>
  </cols>
  <sheetData>
    <row r="1" spans="1:6" ht="18" customHeight="1" x14ac:dyDescent="0.4">
      <c r="A1" s="81" t="s">
        <v>1</v>
      </c>
      <c r="B1" s="82"/>
      <c r="C1" s="82"/>
      <c r="D1" s="82"/>
      <c r="E1" s="82"/>
      <c r="F1" s="82"/>
    </row>
    <row r="2" spans="1:6" ht="14.4" x14ac:dyDescent="0.3">
      <c r="A2" s="2"/>
      <c r="B2" s="2"/>
      <c r="C2" s="2"/>
      <c r="D2" s="2"/>
    </row>
    <row r="3" spans="1:6" ht="15" customHeight="1" x14ac:dyDescent="0.3">
      <c r="A3" s="3" t="s">
        <v>10</v>
      </c>
      <c r="B3" s="2"/>
      <c r="C3" s="2"/>
      <c r="D3" s="2"/>
    </row>
    <row r="4" spans="1:6" ht="15" customHeight="1" x14ac:dyDescent="0.3">
      <c r="A4" s="4" t="s">
        <v>14</v>
      </c>
      <c r="B4" s="4" t="s">
        <v>19</v>
      </c>
      <c r="C4" s="4" t="s">
        <v>22</v>
      </c>
      <c r="D4" s="4" t="s">
        <v>24</v>
      </c>
    </row>
    <row r="5" spans="1:6" ht="15" customHeight="1" x14ac:dyDescent="0.3">
      <c r="A5" s="5" t="s">
        <v>26</v>
      </c>
      <c r="B5" s="5" t="s">
        <v>31</v>
      </c>
      <c r="C5" s="5" t="s">
        <v>38</v>
      </c>
      <c r="D5" s="5" t="s">
        <v>40</v>
      </c>
    </row>
    <row r="6" spans="1:6" ht="15" customHeight="1" x14ac:dyDescent="0.3">
      <c r="A6" s="5" t="s">
        <v>42</v>
      </c>
      <c r="B6" s="5" t="s">
        <v>44</v>
      </c>
      <c r="C6" s="5" t="s">
        <v>46</v>
      </c>
      <c r="D6" s="5" t="s">
        <v>50</v>
      </c>
    </row>
    <row r="7" spans="1:6" ht="15" customHeight="1" x14ac:dyDescent="0.3">
      <c r="A7" s="5" t="s">
        <v>55</v>
      </c>
      <c r="B7" s="5" t="s">
        <v>56</v>
      </c>
      <c r="C7" s="5" t="s">
        <v>58</v>
      </c>
      <c r="D7" s="5" t="s">
        <v>60</v>
      </c>
    </row>
    <row r="8" spans="1:6" ht="14.4" x14ac:dyDescent="0.3">
      <c r="A8" s="2"/>
      <c r="B8" s="2"/>
      <c r="C8" s="2"/>
      <c r="D8" s="2"/>
    </row>
    <row r="9" spans="1:6" ht="15" customHeight="1" x14ac:dyDescent="0.3">
      <c r="A9" s="3" t="s">
        <v>62</v>
      </c>
      <c r="B9" s="2"/>
      <c r="C9" s="2"/>
      <c r="D9" s="2"/>
    </row>
    <row r="10" spans="1:6" ht="15.7" customHeight="1" x14ac:dyDescent="0.4">
      <c r="A10" s="2" t="s">
        <v>64</v>
      </c>
      <c r="B10" s="2"/>
      <c r="C10" s="2"/>
      <c r="D10" s="7"/>
    </row>
    <row r="11" spans="1:6" ht="15.7" customHeight="1" x14ac:dyDescent="0.4">
      <c r="A11" s="2" t="s">
        <v>70</v>
      </c>
      <c r="B11" s="2"/>
      <c r="C11" s="2"/>
      <c r="D11" s="2"/>
    </row>
    <row r="12" spans="1:6" ht="15.7" customHeight="1" x14ac:dyDescent="0.4">
      <c r="A12" s="7" t="s">
        <v>72</v>
      </c>
      <c r="B12" s="2"/>
      <c r="C12" s="2"/>
      <c r="D12" s="2"/>
    </row>
    <row r="13" spans="1:6" ht="14.4" x14ac:dyDescent="0.3">
      <c r="A13" s="2"/>
      <c r="B13" s="2"/>
      <c r="C13" s="2"/>
      <c r="D13" s="2"/>
    </row>
    <row r="14" spans="1:6" ht="15" customHeight="1" x14ac:dyDescent="0.3">
      <c r="A14" s="3" t="s">
        <v>76</v>
      </c>
      <c r="B14" s="2"/>
      <c r="C14" s="2"/>
      <c r="D14" s="2"/>
    </row>
    <row r="15" spans="1:6" ht="15.7" customHeight="1" x14ac:dyDescent="0.4">
      <c r="A15" s="2" t="s">
        <v>77</v>
      </c>
      <c r="B15" s="2"/>
      <c r="C15" s="2"/>
      <c r="D15" s="2"/>
    </row>
    <row r="16" spans="1:6" ht="15.7" customHeight="1" x14ac:dyDescent="0.4">
      <c r="A16" s="2" t="s">
        <v>78</v>
      </c>
      <c r="B16" s="2"/>
      <c r="C16" s="2" t="s">
        <v>46</v>
      </c>
      <c r="D16" s="7" t="s">
        <v>50</v>
      </c>
    </row>
    <row r="17" spans="1:4" ht="15.7" customHeight="1" x14ac:dyDescent="0.4">
      <c r="A17" s="2" t="s">
        <v>80</v>
      </c>
      <c r="B17" s="2"/>
      <c r="C17" s="2"/>
      <c r="D17" s="2"/>
    </row>
    <row r="18" spans="1:4" ht="15.7" customHeight="1" x14ac:dyDescent="0.4">
      <c r="A18" s="7" t="s">
        <v>82</v>
      </c>
      <c r="B18" s="2"/>
      <c r="C18" s="2"/>
      <c r="D18" s="2"/>
    </row>
    <row r="19" spans="1:4" ht="15.7" customHeight="1" x14ac:dyDescent="0.4">
      <c r="A19" s="7" t="s">
        <v>86</v>
      </c>
      <c r="B19" s="2"/>
      <c r="C19" s="2" t="s">
        <v>46</v>
      </c>
      <c r="D19" s="7" t="s">
        <v>50</v>
      </c>
    </row>
    <row r="20" spans="1:4" ht="15.7" customHeight="1" x14ac:dyDescent="0.4">
      <c r="A20" s="2" t="s">
        <v>88</v>
      </c>
      <c r="B20" s="2"/>
      <c r="C20" s="2"/>
      <c r="D20" s="2"/>
    </row>
    <row r="21" spans="1:4" ht="15" customHeight="1" x14ac:dyDescent="0.3">
      <c r="A21" s="3" t="s">
        <v>89</v>
      </c>
      <c r="B21" s="2"/>
      <c r="C21" s="2"/>
      <c r="D21" s="2"/>
    </row>
    <row r="22" spans="1:4" ht="15.7" customHeight="1" x14ac:dyDescent="0.4">
      <c r="A22" s="2" t="s">
        <v>91</v>
      </c>
      <c r="B22" s="2"/>
      <c r="C22" s="2"/>
      <c r="D22" s="2"/>
    </row>
    <row r="23" spans="1:4" ht="15.7" customHeight="1" x14ac:dyDescent="0.4">
      <c r="A23" s="2" t="s">
        <v>93</v>
      </c>
      <c r="B23" s="2"/>
      <c r="C23" s="2"/>
      <c r="D23" s="2"/>
    </row>
    <row r="24" spans="1:4" ht="15.7" customHeight="1" x14ac:dyDescent="0.4">
      <c r="A24" s="2" t="s">
        <v>94</v>
      </c>
      <c r="B24" s="2"/>
      <c r="C24" s="2"/>
      <c r="D24" s="2"/>
    </row>
    <row r="25" spans="1:4" ht="15.7" customHeight="1" x14ac:dyDescent="0.4">
      <c r="A25" s="2" t="s">
        <v>95</v>
      </c>
      <c r="B25" s="2"/>
      <c r="C25" s="2"/>
      <c r="D25" s="2"/>
    </row>
    <row r="26" spans="1:4" ht="15.7" customHeight="1" x14ac:dyDescent="0.3">
      <c r="A26" s="2"/>
      <c r="B26" s="2"/>
      <c r="C26" s="2"/>
      <c r="D26" s="2"/>
    </row>
    <row r="27" spans="1:4" ht="15.7" customHeight="1" x14ac:dyDescent="0.4">
      <c r="A27" s="7" t="s">
        <v>96</v>
      </c>
      <c r="B27" s="2"/>
      <c r="C27" s="2" t="s">
        <v>46</v>
      </c>
      <c r="D27" s="7" t="s">
        <v>50</v>
      </c>
    </row>
    <row r="28" spans="1:4" ht="15.7" customHeight="1" x14ac:dyDescent="0.3">
      <c r="A28" s="2"/>
      <c r="B28" s="2"/>
      <c r="C28" s="2"/>
      <c r="D28" s="2"/>
    </row>
    <row r="29" spans="1:4" ht="15.7" customHeight="1" x14ac:dyDescent="0.4">
      <c r="A29" s="7" t="s">
        <v>99</v>
      </c>
      <c r="B29" s="2"/>
      <c r="C29" s="2"/>
      <c r="D29" s="2"/>
    </row>
    <row r="30" spans="1:4" ht="15.7" customHeight="1" x14ac:dyDescent="0.4">
      <c r="A30" s="2" t="s">
        <v>100</v>
      </c>
      <c r="B30" s="2"/>
      <c r="C30" s="2"/>
      <c r="D30" s="2"/>
    </row>
    <row r="31" spans="1:4" ht="15.7" customHeight="1" x14ac:dyDescent="0.4">
      <c r="A31" s="2" t="s">
        <v>101</v>
      </c>
      <c r="B31" s="2"/>
      <c r="C31" s="2"/>
      <c r="D31" s="2"/>
    </row>
    <row r="32" spans="1:4" ht="15.7" customHeight="1" x14ac:dyDescent="0.4">
      <c r="A32" s="2" t="s">
        <v>102</v>
      </c>
      <c r="B32" s="2"/>
      <c r="C32" s="2"/>
      <c r="D32" s="2"/>
    </row>
    <row r="33" spans="1:4" ht="15.7" customHeight="1" x14ac:dyDescent="0.4">
      <c r="A33" s="2" t="s">
        <v>106</v>
      </c>
      <c r="B33" s="2"/>
      <c r="C33" s="2"/>
      <c r="D33" s="2"/>
    </row>
    <row r="34" spans="1:4" ht="15.7" customHeight="1" x14ac:dyDescent="0.3">
      <c r="A34" s="2"/>
      <c r="B34" s="2"/>
      <c r="C34" s="2"/>
      <c r="D34" s="2"/>
    </row>
    <row r="35" spans="1:4" ht="15.7" customHeight="1" x14ac:dyDescent="0.3">
      <c r="A35" s="2"/>
      <c r="B35" s="2"/>
      <c r="C35" s="2"/>
      <c r="D35" s="2"/>
    </row>
    <row r="36" spans="1:4" ht="15.7" customHeight="1" x14ac:dyDescent="0.3">
      <c r="A36" s="2"/>
      <c r="B36" s="2"/>
      <c r="C36" s="2"/>
      <c r="D36" s="2"/>
    </row>
    <row r="37" spans="1:4" ht="15.7" customHeight="1" x14ac:dyDescent="0.3">
      <c r="A37" s="2"/>
      <c r="B37" s="2"/>
      <c r="C37" s="2"/>
      <c r="D37" s="2"/>
    </row>
    <row r="38" spans="1:4" ht="15.7" customHeight="1" x14ac:dyDescent="0.3">
      <c r="A38" s="2"/>
      <c r="B38" s="2"/>
      <c r="C38" s="2"/>
      <c r="D38" s="2"/>
    </row>
    <row r="39" spans="1:4" ht="15.7" customHeight="1" x14ac:dyDescent="0.3">
      <c r="A39" s="2"/>
      <c r="B39" s="2"/>
      <c r="C39" s="2"/>
      <c r="D39" s="2"/>
    </row>
    <row r="40" spans="1:4" ht="15.7" customHeight="1" x14ac:dyDescent="0.3">
      <c r="A40" s="2"/>
      <c r="B40" s="2"/>
      <c r="C40" s="2"/>
      <c r="D40" s="2"/>
    </row>
    <row r="41" spans="1:4" ht="15.7" customHeight="1" x14ac:dyDescent="0.3">
      <c r="A41" s="2"/>
      <c r="B41" s="2"/>
      <c r="C41" s="2"/>
      <c r="D41" s="2"/>
    </row>
    <row r="42" spans="1:4" ht="15.7" customHeight="1" x14ac:dyDescent="0.3">
      <c r="A42" s="2"/>
      <c r="B42" s="2"/>
      <c r="C42" s="2"/>
      <c r="D42" s="2"/>
    </row>
    <row r="43" spans="1:4" ht="15.7" customHeight="1" x14ac:dyDescent="0.3">
      <c r="A43" s="2"/>
      <c r="B43" s="2"/>
      <c r="C43" s="2"/>
      <c r="D43" s="2"/>
    </row>
    <row r="44" spans="1:4" ht="15.7" customHeight="1" x14ac:dyDescent="0.3">
      <c r="A44" s="2"/>
      <c r="B44" s="2"/>
      <c r="C44" s="2"/>
      <c r="D44" s="2"/>
    </row>
    <row r="45" spans="1:4" ht="15.7" customHeight="1" x14ac:dyDescent="0.3">
      <c r="A45" s="2"/>
      <c r="B45" s="2"/>
      <c r="C45" s="2"/>
      <c r="D45" s="2"/>
    </row>
    <row r="46" spans="1:4" ht="15.7" customHeight="1" x14ac:dyDescent="0.3">
      <c r="A46" s="2"/>
      <c r="B46" s="2"/>
      <c r="C46" s="2"/>
      <c r="D46" s="2"/>
    </row>
    <row r="47" spans="1:4" ht="15.7" customHeight="1" x14ac:dyDescent="0.3">
      <c r="A47" s="2"/>
      <c r="B47" s="2"/>
      <c r="C47" s="2"/>
      <c r="D47" s="2"/>
    </row>
    <row r="48" spans="1:4" ht="15.7" customHeight="1" x14ac:dyDescent="0.3">
      <c r="A48" s="2"/>
      <c r="B48" s="2"/>
      <c r="C48" s="2"/>
      <c r="D48" s="2"/>
    </row>
    <row r="49" spans="1:4" ht="15.7" customHeight="1" x14ac:dyDescent="0.3">
      <c r="A49" s="2"/>
      <c r="B49" s="2"/>
      <c r="C49" s="2"/>
      <c r="D49" s="2"/>
    </row>
    <row r="50" spans="1:4" ht="15.7" customHeight="1" x14ac:dyDescent="0.3">
      <c r="A50" s="2"/>
      <c r="B50" s="2"/>
      <c r="C50" s="2"/>
      <c r="D50" s="2"/>
    </row>
    <row r="51" spans="1:4" ht="15.7" customHeight="1" x14ac:dyDescent="0.3">
      <c r="A51" s="2"/>
      <c r="B51" s="2"/>
      <c r="C51" s="2"/>
      <c r="D51" s="2"/>
    </row>
    <row r="52" spans="1:4" ht="15.7" customHeight="1" x14ac:dyDescent="0.3">
      <c r="A52" s="2"/>
      <c r="B52" s="2"/>
      <c r="C52" s="2"/>
      <c r="D52" s="2"/>
    </row>
    <row r="53" spans="1:4" ht="15.7" customHeight="1" x14ac:dyDescent="0.3">
      <c r="A53" s="2"/>
      <c r="B53" s="2"/>
      <c r="C53" s="2"/>
      <c r="D53" s="2"/>
    </row>
    <row r="54" spans="1:4" ht="15.7" customHeight="1" x14ac:dyDescent="0.3">
      <c r="A54" s="2"/>
      <c r="B54" s="2"/>
      <c r="C54" s="2"/>
      <c r="D54" s="2"/>
    </row>
    <row r="55" spans="1:4" ht="15.7" customHeight="1" x14ac:dyDescent="0.3">
      <c r="A55" s="2"/>
      <c r="B55" s="2"/>
      <c r="C55" s="2"/>
      <c r="D55" s="2"/>
    </row>
    <row r="56" spans="1:4" ht="15.7" customHeight="1" x14ac:dyDescent="0.3">
      <c r="A56" s="2"/>
      <c r="B56" s="2"/>
      <c r="C56" s="2"/>
      <c r="D56" s="2"/>
    </row>
    <row r="57" spans="1:4" ht="15.7" customHeight="1" x14ac:dyDescent="0.3">
      <c r="A57" s="2"/>
      <c r="B57" s="2"/>
      <c r="C57" s="2"/>
      <c r="D57" s="2"/>
    </row>
    <row r="58" spans="1:4" ht="15.7" customHeight="1" x14ac:dyDescent="0.3">
      <c r="A58" s="2"/>
      <c r="B58" s="2"/>
      <c r="C58" s="2"/>
      <c r="D58" s="2"/>
    </row>
    <row r="59" spans="1:4" ht="15.7" customHeight="1" x14ac:dyDescent="0.3">
      <c r="A59" s="2"/>
      <c r="B59" s="2"/>
      <c r="C59" s="2"/>
      <c r="D59" s="2"/>
    </row>
    <row r="60" spans="1:4" ht="15.7" customHeight="1" x14ac:dyDescent="0.3">
      <c r="A60" s="2"/>
      <c r="B60" s="2"/>
      <c r="C60" s="2"/>
      <c r="D60" s="2"/>
    </row>
    <row r="61" spans="1:4" ht="15.7" customHeight="1" x14ac:dyDescent="0.3">
      <c r="A61" s="2"/>
      <c r="B61" s="2"/>
      <c r="C61" s="2"/>
      <c r="D61" s="2"/>
    </row>
    <row r="62" spans="1:4" ht="15.7" customHeight="1" x14ac:dyDescent="0.3">
      <c r="A62" s="2"/>
      <c r="B62" s="2"/>
      <c r="C62" s="2"/>
      <c r="D62" s="2"/>
    </row>
    <row r="63" spans="1:4" ht="15.7" customHeight="1" x14ac:dyDescent="0.3">
      <c r="A63" s="2"/>
      <c r="B63" s="2"/>
      <c r="C63" s="2"/>
      <c r="D63" s="2"/>
    </row>
    <row r="64" spans="1:4" ht="15.7" customHeight="1" x14ac:dyDescent="0.3">
      <c r="A64" s="2"/>
      <c r="B64" s="2"/>
      <c r="C64" s="2"/>
      <c r="D64" s="2"/>
    </row>
    <row r="65" spans="1:4" ht="15.7" customHeight="1" x14ac:dyDescent="0.3">
      <c r="A65" s="2"/>
      <c r="B65" s="2"/>
      <c r="C65" s="2"/>
      <c r="D65" s="2"/>
    </row>
    <row r="66" spans="1:4" ht="15.7" customHeight="1" x14ac:dyDescent="0.3">
      <c r="A66" s="2"/>
      <c r="B66" s="2"/>
      <c r="C66" s="2"/>
      <c r="D66" s="2"/>
    </row>
    <row r="67" spans="1:4" ht="15.7" customHeight="1" x14ac:dyDescent="0.3">
      <c r="A67" s="2"/>
      <c r="B67" s="2"/>
      <c r="C67" s="2"/>
      <c r="D67" s="2"/>
    </row>
    <row r="68" spans="1:4" ht="15.7" customHeight="1" x14ac:dyDescent="0.3">
      <c r="A68" s="2"/>
      <c r="B68" s="2"/>
      <c r="C68" s="2"/>
      <c r="D68" s="2"/>
    </row>
    <row r="69" spans="1:4" ht="15.7" customHeight="1" x14ac:dyDescent="0.3">
      <c r="A69" s="2"/>
      <c r="B69" s="2"/>
      <c r="C69" s="2"/>
      <c r="D69" s="2"/>
    </row>
    <row r="70" spans="1:4" ht="15.7" customHeight="1" x14ac:dyDescent="0.3">
      <c r="A70" s="2"/>
      <c r="B70" s="2"/>
      <c r="C70" s="2"/>
      <c r="D70" s="2"/>
    </row>
    <row r="71" spans="1:4" ht="15.7" customHeight="1" x14ac:dyDescent="0.3">
      <c r="A71" s="2"/>
      <c r="B71" s="2"/>
      <c r="C71" s="2"/>
      <c r="D71" s="2"/>
    </row>
    <row r="72" spans="1:4" ht="15.7" customHeight="1" x14ac:dyDescent="0.3">
      <c r="A72" s="2"/>
      <c r="B72" s="2"/>
      <c r="C72" s="2"/>
      <c r="D72" s="2"/>
    </row>
    <row r="73" spans="1:4" ht="15.7" customHeight="1" x14ac:dyDescent="0.3">
      <c r="A73" s="2"/>
      <c r="B73" s="2"/>
      <c r="C73" s="2"/>
      <c r="D73" s="2"/>
    </row>
    <row r="74" spans="1:4" ht="15.7" customHeight="1" x14ac:dyDescent="0.3">
      <c r="A74" s="2"/>
      <c r="B74" s="2"/>
      <c r="C74" s="2"/>
      <c r="D74" s="2"/>
    </row>
    <row r="75" spans="1:4" ht="15.7" customHeight="1" x14ac:dyDescent="0.3">
      <c r="A75" s="2"/>
      <c r="B75" s="2"/>
      <c r="C75" s="2"/>
      <c r="D75" s="2"/>
    </row>
    <row r="76" spans="1:4" ht="15.7" customHeight="1" x14ac:dyDescent="0.3">
      <c r="A76" s="2"/>
      <c r="B76" s="2"/>
      <c r="C76" s="2"/>
      <c r="D76" s="2"/>
    </row>
    <row r="77" spans="1:4" ht="15.7" customHeight="1" x14ac:dyDescent="0.3">
      <c r="A77" s="2"/>
      <c r="B77" s="2"/>
      <c r="C77" s="2"/>
      <c r="D77" s="2"/>
    </row>
    <row r="78" spans="1:4" ht="15.7" customHeight="1" x14ac:dyDescent="0.3">
      <c r="A78" s="2"/>
      <c r="B78" s="2"/>
      <c r="C78" s="2"/>
      <c r="D78" s="2"/>
    </row>
    <row r="79" spans="1:4" ht="15.7" customHeight="1" x14ac:dyDescent="0.3">
      <c r="A79" s="2"/>
      <c r="B79" s="2"/>
      <c r="C79" s="2"/>
      <c r="D79" s="2"/>
    </row>
    <row r="80" spans="1:4" ht="15.7" customHeight="1" x14ac:dyDescent="0.3">
      <c r="A80" s="2"/>
      <c r="B80" s="2"/>
      <c r="C80" s="2"/>
      <c r="D80" s="2"/>
    </row>
    <row r="81" spans="1:4" ht="15.7" customHeight="1" x14ac:dyDescent="0.3">
      <c r="A81" s="2"/>
      <c r="B81" s="2"/>
      <c r="C81" s="2"/>
      <c r="D81" s="2"/>
    </row>
    <row r="82" spans="1:4" ht="15.7" customHeight="1" x14ac:dyDescent="0.3">
      <c r="A82" s="2"/>
      <c r="B82" s="2"/>
      <c r="C82" s="2"/>
      <c r="D82" s="2"/>
    </row>
    <row r="83" spans="1:4" ht="15.7" customHeight="1" x14ac:dyDescent="0.3">
      <c r="A83" s="2"/>
      <c r="B83" s="2"/>
      <c r="C83" s="2"/>
      <c r="D83" s="2"/>
    </row>
    <row r="84" spans="1:4" ht="15.7" customHeight="1" x14ac:dyDescent="0.3">
      <c r="A84" s="2"/>
      <c r="B84" s="2"/>
      <c r="C84" s="2"/>
      <c r="D84" s="2"/>
    </row>
    <row r="85" spans="1:4" ht="15.7" customHeight="1" x14ac:dyDescent="0.3">
      <c r="A85" s="2"/>
      <c r="B85" s="2"/>
      <c r="C85" s="2"/>
      <c r="D85" s="2"/>
    </row>
    <row r="86" spans="1:4" ht="15.7" customHeight="1" x14ac:dyDescent="0.3">
      <c r="A86" s="2"/>
      <c r="B86" s="2"/>
      <c r="C86" s="2"/>
      <c r="D86" s="2"/>
    </row>
    <row r="87" spans="1:4" ht="15.7" customHeight="1" x14ac:dyDescent="0.3">
      <c r="A87" s="2"/>
      <c r="B87" s="2"/>
      <c r="C87" s="2"/>
      <c r="D87" s="2"/>
    </row>
    <row r="88" spans="1:4" ht="15.7" customHeight="1" x14ac:dyDescent="0.3">
      <c r="A88" s="2"/>
      <c r="B88" s="2"/>
      <c r="C88" s="2"/>
      <c r="D88" s="2"/>
    </row>
    <row r="89" spans="1:4" ht="15.7" customHeight="1" x14ac:dyDescent="0.3">
      <c r="A89" s="2"/>
      <c r="B89" s="2"/>
      <c r="C89" s="2"/>
      <c r="D89" s="2"/>
    </row>
    <row r="90" spans="1:4" ht="15.7" customHeight="1" x14ac:dyDescent="0.3">
      <c r="A90" s="2"/>
      <c r="B90" s="2"/>
      <c r="C90" s="2"/>
      <c r="D90" s="2"/>
    </row>
    <row r="91" spans="1:4" ht="15.7" customHeight="1" x14ac:dyDescent="0.3">
      <c r="A91" s="2"/>
      <c r="B91" s="2"/>
      <c r="C91" s="2"/>
      <c r="D91" s="2"/>
    </row>
    <row r="92" spans="1:4" ht="15.7" customHeight="1" x14ac:dyDescent="0.3">
      <c r="A92" s="2"/>
      <c r="B92" s="2"/>
      <c r="C92" s="2"/>
      <c r="D92" s="2"/>
    </row>
    <row r="93" spans="1:4" ht="15.7" customHeight="1" x14ac:dyDescent="0.3">
      <c r="A93" s="2"/>
      <c r="B93" s="2"/>
      <c r="C93" s="2"/>
      <c r="D93" s="2"/>
    </row>
    <row r="94" spans="1:4" ht="15.7" customHeight="1" x14ac:dyDescent="0.3">
      <c r="A94" s="2"/>
      <c r="B94" s="2"/>
      <c r="C94" s="2"/>
      <c r="D94" s="2"/>
    </row>
    <row r="95" spans="1:4" ht="15.7" customHeight="1" x14ac:dyDescent="0.3">
      <c r="A95" s="2"/>
      <c r="B95" s="2"/>
      <c r="C95" s="2"/>
      <c r="D95" s="2"/>
    </row>
    <row r="96" spans="1:4" ht="15.7" customHeight="1" x14ac:dyDescent="0.3">
      <c r="A96" s="2"/>
      <c r="B96" s="2"/>
      <c r="C96" s="2"/>
      <c r="D96" s="2"/>
    </row>
    <row r="97" spans="1:4" ht="15.7" customHeight="1" x14ac:dyDescent="0.3">
      <c r="A97" s="2"/>
      <c r="B97" s="2"/>
      <c r="C97" s="2"/>
      <c r="D97" s="2"/>
    </row>
    <row r="98" spans="1:4" ht="15.7" customHeight="1" x14ac:dyDescent="0.3">
      <c r="A98" s="2"/>
      <c r="B98" s="2"/>
      <c r="C98" s="2"/>
      <c r="D98" s="2"/>
    </row>
    <row r="99" spans="1:4" ht="15.7" customHeight="1" x14ac:dyDescent="0.3">
      <c r="A99" s="2"/>
      <c r="B99" s="2"/>
      <c r="C99" s="2"/>
      <c r="D99" s="2"/>
    </row>
    <row r="100" spans="1:4" ht="15.7" customHeight="1" x14ac:dyDescent="0.3">
      <c r="A100" s="2"/>
      <c r="B100" s="2"/>
      <c r="C100" s="2"/>
      <c r="D100" s="2"/>
    </row>
    <row r="101" spans="1:4" ht="15.7" customHeight="1" x14ac:dyDescent="0.3">
      <c r="A101" s="2"/>
      <c r="B101" s="2"/>
      <c r="C101" s="2"/>
      <c r="D101" s="2"/>
    </row>
    <row r="102" spans="1:4" ht="15.7" customHeight="1" x14ac:dyDescent="0.3">
      <c r="A102" s="2"/>
      <c r="B102" s="2"/>
      <c r="C102" s="2"/>
      <c r="D102" s="2"/>
    </row>
    <row r="103" spans="1:4" ht="15.7" customHeight="1" x14ac:dyDescent="0.3">
      <c r="A103" s="2"/>
      <c r="B103" s="2"/>
      <c r="C103" s="2"/>
      <c r="D103" s="2"/>
    </row>
    <row r="104" spans="1:4" ht="15.7" customHeight="1" x14ac:dyDescent="0.3">
      <c r="A104" s="2"/>
      <c r="B104" s="2"/>
      <c r="C104" s="2"/>
      <c r="D104" s="2"/>
    </row>
    <row r="105" spans="1:4" ht="15.7" customHeight="1" x14ac:dyDescent="0.3">
      <c r="A105" s="2"/>
      <c r="B105" s="2"/>
      <c r="C105" s="2"/>
      <c r="D105" s="2"/>
    </row>
    <row r="106" spans="1:4" ht="15.7" customHeight="1" x14ac:dyDescent="0.3">
      <c r="A106" s="2"/>
      <c r="B106" s="2"/>
      <c r="C106" s="2"/>
      <c r="D106" s="2"/>
    </row>
    <row r="107" spans="1:4" ht="15.7" customHeight="1" x14ac:dyDescent="0.3">
      <c r="A107" s="2"/>
      <c r="B107" s="2"/>
      <c r="C107" s="2"/>
      <c r="D107" s="2"/>
    </row>
    <row r="108" spans="1:4" ht="15.7" customHeight="1" x14ac:dyDescent="0.3">
      <c r="A108" s="2"/>
      <c r="B108" s="2"/>
      <c r="C108" s="2"/>
      <c r="D108" s="2"/>
    </row>
    <row r="109" spans="1:4" ht="15.7" customHeight="1" x14ac:dyDescent="0.3">
      <c r="A109" s="2"/>
      <c r="B109" s="2"/>
      <c r="C109" s="2"/>
      <c r="D109" s="2"/>
    </row>
    <row r="110" spans="1:4" ht="15.7" customHeight="1" x14ac:dyDescent="0.3">
      <c r="A110" s="2"/>
      <c r="B110" s="2"/>
      <c r="C110" s="2"/>
      <c r="D110" s="2"/>
    </row>
    <row r="111" spans="1:4" ht="15.7" customHeight="1" x14ac:dyDescent="0.3">
      <c r="A111" s="2"/>
      <c r="B111" s="2"/>
      <c r="C111" s="2"/>
      <c r="D111" s="2"/>
    </row>
    <row r="112" spans="1:4" ht="15.7" customHeight="1" x14ac:dyDescent="0.3">
      <c r="A112" s="2"/>
      <c r="B112" s="2"/>
      <c r="C112" s="2"/>
      <c r="D112" s="2"/>
    </row>
    <row r="113" spans="1:4" ht="15.7" customHeight="1" x14ac:dyDescent="0.3">
      <c r="A113" s="2"/>
      <c r="B113" s="2"/>
      <c r="C113" s="2"/>
      <c r="D113" s="2"/>
    </row>
    <row r="114" spans="1:4" ht="15.7" customHeight="1" x14ac:dyDescent="0.3">
      <c r="A114" s="2"/>
      <c r="B114" s="2"/>
      <c r="C114" s="2"/>
      <c r="D114" s="2"/>
    </row>
    <row r="115" spans="1:4" ht="15.7" customHeight="1" x14ac:dyDescent="0.3">
      <c r="A115" s="2"/>
      <c r="B115" s="2"/>
      <c r="C115" s="2"/>
      <c r="D115" s="2"/>
    </row>
    <row r="116" spans="1:4" ht="15.7" customHeight="1" x14ac:dyDescent="0.3">
      <c r="A116" s="2"/>
      <c r="B116" s="2"/>
      <c r="C116" s="2"/>
      <c r="D116" s="2"/>
    </row>
    <row r="117" spans="1:4" ht="15.7" customHeight="1" x14ac:dyDescent="0.3">
      <c r="A117" s="2"/>
      <c r="B117" s="2"/>
      <c r="C117" s="2"/>
      <c r="D117" s="2"/>
    </row>
    <row r="118" spans="1:4" ht="15.7" customHeight="1" x14ac:dyDescent="0.3">
      <c r="A118" s="2"/>
      <c r="B118" s="2"/>
      <c r="C118" s="2"/>
      <c r="D118" s="2"/>
    </row>
    <row r="119" spans="1:4" ht="15.7" customHeight="1" x14ac:dyDescent="0.3">
      <c r="A119" s="2"/>
      <c r="B119" s="2"/>
      <c r="C119" s="2"/>
      <c r="D119" s="2"/>
    </row>
    <row r="120" spans="1:4" ht="15.7" customHeight="1" x14ac:dyDescent="0.3">
      <c r="A120" s="2"/>
      <c r="B120" s="2"/>
      <c r="C120" s="2"/>
      <c r="D120" s="2"/>
    </row>
    <row r="121" spans="1:4" ht="15.7" customHeight="1" x14ac:dyDescent="0.3">
      <c r="A121" s="2"/>
      <c r="B121" s="2"/>
      <c r="C121" s="2"/>
      <c r="D121" s="2"/>
    </row>
    <row r="122" spans="1:4" ht="15.7" customHeight="1" x14ac:dyDescent="0.3">
      <c r="A122" s="2"/>
      <c r="B122" s="2"/>
      <c r="C122" s="2"/>
      <c r="D122" s="2"/>
    </row>
    <row r="123" spans="1:4" ht="15.7" customHeight="1" x14ac:dyDescent="0.3">
      <c r="A123" s="2"/>
      <c r="B123" s="2"/>
      <c r="C123" s="2"/>
      <c r="D123" s="2"/>
    </row>
    <row r="124" spans="1:4" ht="15.7" customHeight="1" x14ac:dyDescent="0.3">
      <c r="A124" s="2"/>
      <c r="B124" s="2"/>
      <c r="C124" s="2"/>
      <c r="D124" s="2"/>
    </row>
    <row r="125" spans="1:4" ht="15.7" customHeight="1" x14ac:dyDescent="0.3">
      <c r="A125" s="2"/>
      <c r="B125" s="2"/>
      <c r="C125" s="2"/>
      <c r="D125" s="2"/>
    </row>
    <row r="126" spans="1:4" ht="15.7" customHeight="1" x14ac:dyDescent="0.3">
      <c r="A126" s="2"/>
      <c r="B126" s="2"/>
      <c r="C126" s="2"/>
      <c r="D126" s="2"/>
    </row>
    <row r="127" spans="1:4" ht="15.7" customHeight="1" x14ac:dyDescent="0.3">
      <c r="A127" s="2"/>
      <c r="B127" s="2"/>
      <c r="C127" s="2"/>
      <c r="D127" s="2"/>
    </row>
    <row r="128" spans="1:4" ht="15.7" customHeight="1" x14ac:dyDescent="0.3">
      <c r="A128" s="2"/>
      <c r="B128" s="2"/>
      <c r="C128" s="2"/>
      <c r="D128" s="2"/>
    </row>
    <row r="129" spans="1:4" ht="15.7" customHeight="1" x14ac:dyDescent="0.3">
      <c r="A129" s="2"/>
      <c r="B129" s="2"/>
      <c r="C129" s="2"/>
      <c r="D129" s="2"/>
    </row>
    <row r="130" spans="1:4" ht="15.7" customHeight="1" x14ac:dyDescent="0.3">
      <c r="A130" s="2"/>
      <c r="B130" s="2"/>
      <c r="C130" s="2"/>
      <c r="D130" s="2"/>
    </row>
    <row r="131" spans="1:4" ht="15.7" customHeight="1" x14ac:dyDescent="0.3">
      <c r="A131" s="2"/>
      <c r="B131" s="2"/>
      <c r="C131" s="2"/>
      <c r="D131" s="2"/>
    </row>
    <row r="132" spans="1:4" ht="15.7" customHeight="1" x14ac:dyDescent="0.3">
      <c r="A132" s="2"/>
      <c r="B132" s="2"/>
      <c r="C132" s="2"/>
      <c r="D132" s="2"/>
    </row>
    <row r="133" spans="1:4" ht="15.7" customHeight="1" x14ac:dyDescent="0.3">
      <c r="A133" s="2"/>
      <c r="B133" s="2"/>
      <c r="C133" s="2"/>
      <c r="D133" s="2"/>
    </row>
    <row r="134" spans="1:4" ht="15.7" customHeight="1" x14ac:dyDescent="0.3">
      <c r="A134" s="2"/>
      <c r="B134" s="2"/>
      <c r="C134" s="2"/>
      <c r="D134" s="2"/>
    </row>
    <row r="135" spans="1:4" ht="15.7" customHeight="1" x14ac:dyDescent="0.3">
      <c r="A135" s="2"/>
      <c r="B135" s="2"/>
      <c r="C135" s="2"/>
      <c r="D135" s="2"/>
    </row>
    <row r="136" spans="1:4" ht="15.7" customHeight="1" x14ac:dyDescent="0.3">
      <c r="A136" s="2"/>
      <c r="B136" s="2"/>
      <c r="C136" s="2"/>
      <c r="D136" s="2"/>
    </row>
    <row r="137" spans="1:4" ht="15.7" customHeight="1" x14ac:dyDescent="0.3">
      <c r="A137" s="2"/>
      <c r="B137" s="2"/>
      <c r="C137" s="2"/>
      <c r="D137" s="2"/>
    </row>
    <row r="138" spans="1:4" ht="15.7" customHeight="1" x14ac:dyDescent="0.3">
      <c r="A138" s="2"/>
      <c r="B138" s="2"/>
      <c r="C138" s="2"/>
      <c r="D138" s="2"/>
    </row>
    <row r="139" spans="1:4" ht="15.7" customHeight="1" x14ac:dyDescent="0.3">
      <c r="A139" s="2"/>
      <c r="B139" s="2"/>
      <c r="C139" s="2"/>
      <c r="D139" s="2"/>
    </row>
    <row r="140" spans="1:4" ht="15.7" customHeight="1" x14ac:dyDescent="0.3">
      <c r="A140" s="2"/>
      <c r="B140" s="2"/>
      <c r="C140" s="2"/>
      <c r="D140" s="2"/>
    </row>
    <row r="141" spans="1:4" ht="15.7" customHeight="1" x14ac:dyDescent="0.3">
      <c r="A141" s="2"/>
      <c r="B141" s="2"/>
      <c r="C141" s="2"/>
      <c r="D141" s="2"/>
    </row>
    <row r="142" spans="1:4" ht="15.7" customHeight="1" x14ac:dyDescent="0.3">
      <c r="A142" s="2"/>
      <c r="B142" s="2"/>
      <c r="C142" s="2"/>
      <c r="D142" s="2"/>
    </row>
    <row r="143" spans="1:4" ht="15.7" customHeight="1" x14ac:dyDescent="0.3">
      <c r="A143" s="2"/>
      <c r="B143" s="2"/>
      <c r="C143" s="2"/>
      <c r="D143" s="2"/>
    </row>
    <row r="144" spans="1:4" ht="15.7" customHeight="1" x14ac:dyDescent="0.3">
      <c r="A144" s="2"/>
      <c r="B144" s="2"/>
      <c r="C144" s="2"/>
      <c r="D144" s="2"/>
    </row>
    <row r="145" spans="1:4" ht="15.7" customHeight="1" x14ac:dyDescent="0.3">
      <c r="A145" s="2"/>
      <c r="B145" s="2"/>
      <c r="C145" s="2"/>
      <c r="D145" s="2"/>
    </row>
    <row r="146" spans="1:4" ht="15.7" customHeight="1" x14ac:dyDescent="0.3">
      <c r="A146" s="2"/>
      <c r="B146" s="2"/>
      <c r="C146" s="2"/>
      <c r="D146" s="2"/>
    </row>
    <row r="147" spans="1:4" ht="15.7" customHeight="1" x14ac:dyDescent="0.3">
      <c r="A147" s="2"/>
      <c r="B147" s="2"/>
      <c r="C147" s="2"/>
      <c r="D147" s="2"/>
    </row>
    <row r="148" spans="1:4" ht="15.7" customHeight="1" x14ac:dyDescent="0.3">
      <c r="A148" s="2"/>
      <c r="B148" s="2"/>
      <c r="C148" s="2"/>
      <c r="D148" s="2"/>
    </row>
    <row r="149" spans="1:4" ht="15.7" customHeight="1" x14ac:dyDescent="0.3">
      <c r="A149" s="2"/>
      <c r="B149" s="2"/>
      <c r="C149" s="2"/>
      <c r="D149" s="2"/>
    </row>
    <row r="150" spans="1:4" ht="15.7" customHeight="1" x14ac:dyDescent="0.3">
      <c r="A150" s="2"/>
      <c r="B150" s="2"/>
      <c r="C150" s="2"/>
      <c r="D150" s="2"/>
    </row>
    <row r="151" spans="1:4" ht="15.7" customHeight="1" x14ac:dyDescent="0.3">
      <c r="A151" s="2"/>
      <c r="B151" s="2"/>
      <c r="C151" s="2"/>
      <c r="D151" s="2"/>
    </row>
    <row r="152" spans="1:4" ht="15.7" customHeight="1" x14ac:dyDescent="0.3">
      <c r="A152" s="2"/>
      <c r="B152" s="2"/>
      <c r="C152" s="2"/>
      <c r="D152" s="2"/>
    </row>
    <row r="153" spans="1:4" ht="15.7" customHeight="1" x14ac:dyDescent="0.3">
      <c r="A153" s="2"/>
      <c r="B153" s="2"/>
      <c r="C153" s="2"/>
      <c r="D153" s="2"/>
    </row>
    <row r="154" spans="1:4" ht="15.7" customHeight="1" x14ac:dyDescent="0.3">
      <c r="A154" s="2"/>
      <c r="B154" s="2"/>
      <c r="C154" s="2"/>
      <c r="D154" s="2"/>
    </row>
    <row r="155" spans="1:4" ht="15.7" customHeight="1" x14ac:dyDescent="0.3">
      <c r="A155" s="2"/>
      <c r="B155" s="2"/>
      <c r="C155" s="2"/>
      <c r="D155" s="2"/>
    </row>
    <row r="156" spans="1:4" ht="15.7" customHeight="1" x14ac:dyDescent="0.3">
      <c r="A156" s="2"/>
      <c r="B156" s="2"/>
      <c r="C156" s="2"/>
      <c r="D156" s="2"/>
    </row>
    <row r="157" spans="1:4" ht="15.7" customHeight="1" x14ac:dyDescent="0.3">
      <c r="A157" s="2"/>
      <c r="B157" s="2"/>
      <c r="C157" s="2"/>
      <c r="D157" s="2"/>
    </row>
    <row r="158" spans="1:4" ht="15.7" customHeight="1" x14ac:dyDescent="0.3">
      <c r="A158" s="2"/>
      <c r="B158" s="2"/>
      <c r="C158" s="2"/>
      <c r="D158" s="2"/>
    </row>
    <row r="159" spans="1:4" ht="15.7" customHeight="1" x14ac:dyDescent="0.3">
      <c r="A159" s="2"/>
      <c r="B159" s="2"/>
      <c r="C159" s="2"/>
      <c r="D159" s="2"/>
    </row>
    <row r="160" spans="1:4" ht="15.7" customHeight="1" x14ac:dyDescent="0.3">
      <c r="A160" s="2"/>
      <c r="B160" s="2"/>
      <c r="C160" s="2"/>
      <c r="D160" s="2"/>
    </row>
    <row r="161" spans="1:4" ht="15.7" customHeight="1" x14ac:dyDescent="0.3">
      <c r="A161" s="2"/>
      <c r="B161" s="2"/>
      <c r="C161" s="2"/>
      <c r="D161" s="2"/>
    </row>
    <row r="162" spans="1:4" ht="15.7" customHeight="1" x14ac:dyDescent="0.3">
      <c r="A162" s="2"/>
      <c r="B162" s="2"/>
      <c r="C162" s="2"/>
      <c r="D162" s="2"/>
    </row>
    <row r="163" spans="1:4" ht="15.7" customHeight="1" x14ac:dyDescent="0.3">
      <c r="A163" s="2"/>
      <c r="B163" s="2"/>
      <c r="C163" s="2"/>
      <c r="D163" s="2"/>
    </row>
    <row r="164" spans="1:4" ht="15.7" customHeight="1" x14ac:dyDescent="0.3">
      <c r="A164" s="2"/>
      <c r="B164" s="2"/>
      <c r="C164" s="2"/>
      <c r="D164" s="2"/>
    </row>
    <row r="165" spans="1:4" ht="15.7" customHeight="1" x14ac:dyDescent="0.3">
      <c r="A165" s="2"/>
      <c r="B165" s="2"/>
      <c r="C165" s="2"/>
      <c r="D165" s="2"/>
    </row>
    <row r="166" spans="1:4" ht="15.7" customHeight="1" x14ac:dyDescent="0.3">
      <c r="A166" s="2"/>
      <c r="B166" s="2"/>
      <c r="C166" s="2"/>
      <c r="D166" s="2"/>
    </row>
    <row r="167" spans="1:4" ht="15.7" customHeight="1" x14ac:dyDescent="0.3">
      <c r="A167" s="2"/>
      <c r="B167" s="2"/>
      <c r="C167" s="2"/>
      <c r="D167" s="2"/>
    </row>
    <row r="168" spans="1:4" ht="15.7" customHeight="1" x14ac:dyDescent="0.3">
      <c r="A168" s="2"/>
      <c r="B168" s="2"/>
      <c r="C168" s="2"/>
      <c r="D168" s="2"/>
    </row>
    <row r="169" spans="1:4" ht="15.7" customHeight="1" x14ac:dyDescent="0.3">
      <c r="A169" s="2"/>
      <c r="B169" s="2"/>
      <c r="C169" s="2"/>
      <c r="D169" s="2"/>
    </row>
    <row r="170" spans="1:4" ht="15.7" customHeight="1" x14ac:dyDescent="0.3">
      <c r="A170" s="2"/>
      <c r="B170" s="2"/>
      <c r="C170" s="2"/>
      <c r="D170" s="2"/>
    </row>
    <row r="171" spans="1:4" ht="15.7" customHeight="1" x14ac:dyDescent="0.3">
      <c r="A171" s="2"/>
      <c r="B171" s="2"/>
      <c r="C171" s="2"/>
      <c r="D171" s="2"/>
    </row>
    <row r="172" spans="1:4" ht="15.7" customHeight="1" x14ac:dyDescent="0.3">
      <c r="A172" s="2"/>
      <c r="B172" s="2"/>
      <c r="C172" s="2"/>
      <c r="D172" s="2"/>
    </row>
    <row r="173" spans="1:4" ht="15.7" customHeight="1" x14ac:dyDescent="0.3">
      <c r="A173" s="2"/>
      <c r="B173" s="2"/>
      <c r="C173" s="2"/>
      <c r="D173" s="2"/>
    </row>
    <row r="174" spans="1:4" ht="15.7" customHeight="1" x14ac:dyDescent="0.3">
      <c r="A174" s="2"/>
      <c r="B174" s="2"/>
      <c r="C174" s="2"/>
      <c r="D174" s="2"/>
    </row>
    <row r="175" spans="1:4" ht="15.7" customHeight="1" x14ac:dyDescent="0.3">
      <c r="A175" s="2"/>
      <c r="B175" s="2"/>
      <c r="C175" s="2"/>
      <c r="D175" s="2"/>
    </row>
    <row r="176" spans="1:4" ht="15.7" customHeight="1" x14ac:dyDescent="0.3">
      <c r="A176" s="2"/>
      <c r="B176" s="2"/>
      <c r="C176" s="2"/>
      <c r="D176" s="2"/>
    </row>
    <row r="177" spans="1:4" ht="15.7" customHeight="1" x14ac:dyDescent="0.3">
      <c r="A177" s="2"/>
      <c r="B177" s="2"/>
      <c r="C177" s="2"/>
      <c r="D177" s="2"/>
    </row>
    <row r="178" spans="1:4" ht="15.7" customHeight="1" x14ac:dyDescent="0.3">
      <c r="A178" s="2"/>
      <c r="B178" s="2"/>
      <c r="C178" s="2"/>
      <c r="D178" s="2"/>
    </row>
    <row r="179" spans="1:4" ht="15.7" customHeight="1" x14ac:dyDescent="0.3">
      <c r="A179" s="2"/>
      <c r="B179" s="2"/>
      <c r="C179" s="2"/>
      <c r="D179" s="2"/>
    </row>
    <row r="180" spans="1:4" ht="15.7" customHeight="1" x14ac:dyDescent="0.3">
      <c r="A180" s="2"/>
      <c r="B180" s="2"/>
      <c r="C180" s="2"/>
      <c r="D180" s="2"/>
    </row>
    <row r="181" spans="1:4" ht="15.7" customHeight="1" x14ac:dyDescent="0.3">
      <c r="A181" s="2"/>
      <c r="B181" s="2"/>
      <c r="C181" s="2"/>
      <c r="D181" s="2"/>
    </row>
    <row r="182" spans="1:4" ht="15.7" customHeight="1" x14ac:dyDescent="0.3">
      <c r="A182" s="2"/>
      <c r="B182" s="2"/>
      <c r="C182" s="2"/>
      <c r="D182" s="2"/>
    </row>
    <row r="183" spans="1:4" ht="15.7" customHeight="1" x14ac:dyDescent="0.3">
      <c r="A183" s="2"/>
      <c r="B183" s="2"/>
      <c r="C183" s="2"/>
      <c r="D183" s="2"/>
    </row>
    <row r="184" spans="1:4" ht="15.7" customHeight="1" x14ac:dyDescent="0.3">
      <c r="A184" s="2"/>
      <c r="B184" s="2"/>
      <c r="C184" s="2"/>
      <c r="D184" s="2"/>
    </row>
    <row r="185" spans="1:4" ht="15.7" customHeight="1" x14ac:dyDescent="0.3">
      <c r="A185" s="2"/>
      <c r="B185" s="2"/>
      <c r="C185" s="2"/>
      <c r="D185" s="2"/>
    </row>
    <row r="186" spans="1:4" ht="15.7" customHeight="1" x14ac:dyDescent="0.3">
      <c r="A186" s="2"/>
      <c r="B186" s="2"/>
      <c r="C186" s="2"/>
      <c r="D186" s="2"/>
    </row>
    <row r="187" spans="1:4" ht="15.7" customHeight="1" x14ac:dyDescent="0.3">
      <c r="A187" s="2"/>
      <c r="B187" s="2"/>
      <c r="C187" s="2"/>
      <c r="D187" s="2"/>
    </row>
    <row r="188" spans="1:4" ht="15.7" customHeight="1" x14ac:dyDescent="0.3">
      <c r="A188" s="2"/>
      <c r="B188" s="2"/>
      <c r="C188" s="2"/>
      <c r="D188" s="2"/>
    </row>
    <row r="189" spans="1:4" ht="15.7" customHeight="1" x14ac:dyDescent="0.3">
      <c r="A189" s="2"/>
      <c r="B189" s="2"/>
      <c r="C189" s="2"/>
      <c r="D189" s="2"/>
    </row>
    <row r="190" spans="1:4" ht="15.7" customHeight="1" x14ac:dyDescent="0.3">
      <c r="A190" s="2"/>
      <c r="B190" s="2"/>
      <c r="C190" s="2"/>
      <c r="D190" s="2"/>
    </row>
    <row r="191" spans="1:4" ht="15.7" customHeight="1" x14ac:dyDescent="0.3">
      <c r="A191" s="2"/>
      <c r="B191" s="2"/>
      <c r="C191" s="2"/>
      <c r="D191" s="2"/>
    </row>
    <row r="192" spans="1:4" ht="15.7" customHeight="1" x14ac:dyDescent="0.3">
      <c r="A192" s="2"/>
      <c r="B192" s="2"/>
      <c r="C192" s="2"/>
      <c r="D192" s="2"/>
    </row>
    <row r="193" spans="1:4" ht="15.7" customHeight="1" x14ac:dyDescent="0.3">
      <c r="A193" s="2"/>
      <c r="B193" s="2"/>
      <c r="C193" s="2"/>
      <c r="D193" s="2"/>
    </row>
    <row r="194" spans="1:4" ht="15.7" customHeight="1" x14ac:dyDescent="0.3">
      <c r="A194" s="2"/>
      <c r="B194" s="2"/>
      <c r="C194" s="2"/>
      <c r="D194" s="2"/>
    </row>
    <row r="195" spans="1:4" ht="15.7" customHeight="1" x14ac:dyDescent="0.3">
      <c r="A195" s="2"/>
      <c r="B195" s="2"/>
      <c r="C195" s="2"/>
      <c r="D195" s="2"/>
    </row>
    <row r="196" spans="1:4" ht="15.7" customHeight="1" x14ac:dyDescent="0.3">
      <c r="A196" s="2"/>
      <c r="B196" s="2"/>
      <c r="C196" s="2"/>
      <c r="D196" s="2"/>
    </row>
    <row r="197" spans="1:4" ht="15.7" customHeight="1" x14ac:dyDescent="0.3">
      <c r="A197" s="2"/>
      <c r="B197" s="2"/>
      <c r="C197" s="2"/>
      <c r="D197" s="2"/>
    </row>
    <row r="198" spans="1:4" ht="15.7" customHeight="1" x14ac:dyDescent="0.3">
      <c r="A198" s="2"/>
      <c r="B198" s="2"/>
      <c r="C198" s="2"/>
      <c r="D198" s="2"/>
    </row>
    <row r="199" spans="1:4" ht="15.7" customHeight="1" x14ac:dyDescent="0.3">
      <c r="A199" s="2"/>
      <c r="B199" s="2"/>
      <c r="C199" s="2"/>
      <c r="D199" s="2"/>
    </row>
    <row r="200" spans="1:4" ht="15.7" customHeight="1" x14ac:dyDescent="0.3">
      <c r="A200" s="2"/>
      <c r="B200" s="2"/>
      <c r="C200" s="2"/>
      <c r="D200" s="2"/>
    </row>
    <row r="201" spans="1:4" ht="15.7" customHeight="1" x14ac:dyDescent="0.3">
      <c r="A201" s="2"/>
      <c r="B201" s="2"/>
      <c r="C201" s="2"/>
      <c r="D201" s="2"/>
    </row>
    <row r="202" spans="1:4" ht="15.7" customHeight="1" x14ac:dyDescent="0.3">
      <c r="A202" s="2"/>
      <c r="B202" s="2"/>
      <c r="C202" s="2"/>
      <c r="D202" s="2"/>
    </row>
    <row r="203" spans="1:4" ht="15.7" customHeight="1" x14ac:dyDescent="0.3">
      <c r="A203" s="2"/>
      <c r="B203" s="2"/>
      <c r="C203" s="2"/>
      <c r="D203" s="2"/>
    </row>
    <row r="204" spans="1:4" ht="15.7" customHeight="1" x14ac:dyDescent="0.3">
      <c r="A204" s="2"/>
      <c r="B204" s="2"/>
      <c r="C204" s="2"/>
      <c r="D204" s="2"/>
    </row>
    <row r="205" spans="1:4" ht="15.7" customHeight="1" x14ac:dyDescent="0.3">
      <c r="A205" s="2"/>
      <c r="B205" s="2"/>
      <c r="C205" s="2"/>
      <c r="D205" s="2"/>
    </row>
    <row r="206" spans="1:4" ht="15.7" customHeight="1" x14ac:dyDescent="0.3">
      <c r="A206" s="2"/>
      <c r="B206" s="2"/>
      <c r="C206" s="2"/>
      <c r="D206" s="2"/>
    </row>
    <row r="207" spans="1:4" ht="15.7" customHeight="1" x14ac:dyDescent="0.3">
      <c r="A207" s="2"/>
      <c r="B207" s="2"/>
      <c r="C207" s="2"/>
      <c r="D207" s="2"/>
    </row>
    <row r="208" spans="1:4" ht="15.7" customHeight="1" x14ac:dyDescent="0.3">
      <c r="A208" s="2"/>
      <c r="B208" s="2"/>
      <c r="C208" s="2"/>
      <c r="D208" s="2"/>
    </row>
    <row r="209" spans="1:4" ht="15.7" customHeight="1" x14ac:dyDescent="0.3">
      <c r="A209" s="2"/>
      <c r="B209" s="2"/>
      <c r="C209" s="2"/>
      <c r="D209" s="2"/>
    </row>
    <row r="210" spans="1:4" ht="15.7" customHeight="1" x14ac:dyDescent="0.3">
      <c r="A210" s="2"/>
      <c r="B210" s="2"/>
      <c r="C210" s="2"/>
      <c r="D210" s="2"/>
    </row>
    <row r="211" spans="1:4" ht="15.7" customHeight="1" x14ac:dyDescent="0.3">
      <c r="A211" s="2"/>
      <c r="B211" s="2"/>
      <c r="C211" s="2"/>
      <c r="D211" s="2"/>
    </row>
    <row r="212" spans="1:4" ht="15.7" customHeight="1" x14ac:dyDescent="0.3">
      <c r="A212" s="2"/>
      <c r="B212" s="2"/>
      <c r="C212" s="2"/>
      <c r="D212" s="2"/>
    </row>
    <row r="213" spans="1:4" ht="15.7" customHeight="1" x14ac:dyDescent="0.3">
      <c r="A213" s="2"/>
      <c r="B213" s="2"/>
      <c r="C213" s="2"/>
      <c r="D213" s="2"/>
    </row>
    <row r="214" spans="1:4" ht="15.7" customHeight="1" x14ac:dyDescent="0.3">
      <c r="A214" s="2"/>
      <c r="B214" s="2"/>
      <c r="C214" s="2"/>
      <c r="D214" s="2"/>
    </row>
    <row r="215" spans="1:4" ht="15.7" customHeight="1" x14ac:dyDescent="0.3">
      <c r="A215" s="2"/>
      <c r="B215" s="2"/>
      <c r="C215" s="2"/>
      <c r="D215" s="2"/>
    </row>
    <row r="216" spans="1:4" ht="15.7" customHeight="1" x14ac:dyDescent="0.3">
      <c r="A216" s="2"/>
      <c r="B216" s="2"/>
      <c r="C216" s="2"/>
      <c r="D216" s="2"/>
    </row>
    <row r="217" spans="1:4" ht="15.7" customHeight="1" x14ac:dyDescent="0.3">
      <c r="A217" s="2"/>
      <c r="B217" s="2"/>
      <c r="C217" s="2"/>
      <c r="D217" s="2"/>
    </row>
    <row r="218" spans="1:4" ht="15.7" customHeight="1" x14ac:dyDescent="0.3">
      <c r="A218" s="2"/>
      <c r="B218" s="2"/>
      <c r="C218" s="2"/>
      <c r="D218" s="2"/>
    </row>
    <row r="219" spans="1:4" ht="15.7" customHeight="1" x14ac:dyDescent="0.3">
      <c r="A219" s="2"/>
      <c r="B219" s="2"/>
      <c r="C219" s="2"/>
      <c r="D219" s="2"/>
    </row>
    <row r="220" spans="1:4" ht="15.7" customHeight="1" x14ac:dyDescent="0.3">
      <c r="A220" s="2"/>
      <c r="B220" s="2"/>
      <c r="C220" s="2"/>
      <c r="D220" s="2"/>
    </row>
    <row r="221" spans="1:4" ht="15.7" customHeight="1" x14ac:dyDescent="0.3">
      <c r="A221" s="2"/>
      <c r="B221" s="2"/>
      <c r="C221" s="2"/>
      <c r="D221" s="2"/>
    </row>
    <row r="222" spans="1:4" ht="15.7" customHeight="1" x14ac:dyDescent="0.3">
      <c r="A222" s="2"/>
      <c r="B222" s="2"/>
      <c r="C222" s="2"/>
      <c r="D222" s="2"/>
    </row>
    <row r="223" spans="1:4" ht="15.7" customHeight="1" x14ac:dyDescent="0.3">
      <c r="A223" s="2"/>
      <c r="B223" s="2"/>
      <c r="C223" s="2"/>
      <c r="D223" s="2"/>
    </row>
    <row r="224" spans="1:4" ht="15.7" customHeight="1" x14ac:dyDescent="0.3">
      <c r="A224" s="2"/>
      <c r="B224" s="2"/>
      <c r="C224" s="2"/>
      <c r="D224" s="2"/>
    </row>
    <row r="225" spans="1:4" ht="15.7" customHeight="1" x14ac:dyDescent="0.3">
      <c r="A225" s="2"/>
      <c r="B225" s="2"/>
      <c r="C225" s="2"/>
      <c r="D225" s="2"/>
    </row>
    <row r="226" spans="1:4" ht="15.7" customHeight="1" x14ac:dyDescent="0.3">
      <c r="A226" s="2"/>
      <c r="B226" s="2"/>
      <c r="C226" s="2"/>
      <c r="D226" s="2"/>
    </row>
    <row r="227" spans="1:4" ht="15.7" customHeight="1" x14ac:dyDescent="0.3">
      <c r="A227" s="2"/>
      <c r="B227" s="2"/>
      <c r="C227" s="2"/>
      <c r="D227" s="2"/>
    </row>
    <row r="228" spans="1:4" ht="15.7" customHeight="1" x14ac:dyDescent="0.3">
      <c r="A228" s="2"/>
      <c r="B228" s="2"/>
      <c r="C228" s="2"/>
      <c r="D228" s="2"/>
    </row>
    <row r="229" spans="1:4" ht="15.7" customHeight="1" x14ac:dyDescent="0.3">
      <c r="A229" s="2"/>
      <c r="B229" s="2"/>
      <c r="C229" s="2"/>
      <c r="D229" s="2"/>
    </row>
    <row r="230" spans="1:4" ht="15.7" customHeight="1" x14ac:dyDescent="0.3">
      <c r="A230" s="2"/>
      <c r="B230" s="2"/>
      <c r="C230" s="2"/>
      <c r="D230" s="2"/>
    </row>
    <row r="231" spans="1:4" ht="15.7" customHeight="1" x14ac:dyDescent="0.3">
      <c r="A231" s="2"/>
      <c r="B231" s="2"/>
      <c r="C231" s="2"/>
      <c r="D231" s="2"/>
    </row>
    <row r="232" spans="1:4" ht="15.7" customHeight="1" x14ac:dyDescent="0.3">
      <c r="A232" s="2"/>
      <c r="B232" s="2"/>
      <c r="C232" s="2"/>
      <c r="D232" s="2"/>
    </row>
    <row r="233" spans="1:4" ht="15.7" customHeight="1" x14ac:dyDescent="0.3">
      <c r="A233" s="2"/>
      <c r="B233" s="2"/>
      <c r="C233" s="2"/>
      <c r="D233" s="2"/>
    </row>
    <row r="234" spans="1:4" ht="15.7" customHeight="1" x14ac:dyDescent="0.3">
      <c r="A234" s="2"/>
      <c r="B234" s="2"/>
      <c r="C234" s="2"/>
      <c r="D234" s="2"/>
    </row>
    <row r="235" spans="1:4" ht="15.7" customHeight="1" x14ac:dyDescent="0.3">
      <c r="A235" s="2"/>
      <c r="B235" s="2"/>
      <c r="C235" s="2"/>
      <c r="D235" s="2"/>
    </row>
    <row r="236" spans="1:4" ht="15.7" customHeight="1" x14ac:dyDescent="0.3">
      <c r="A236" s="2"/>
      <c r="B236" s="2"/>
      <c r="C236" s="2"/>
      <c r="D236" s="2"/>
    </row>
    <row r="237" spans="1:4" ht="15.7" customHeight="1" x14ac:dyDescent="0.3">
      <c r="A237" s="2"/>
      <c r="B237" s="2"/>
      <c r="C237" s="2"/>
      <c r="D237" s="2"/>
    </row>
    <row r="238" spans="1:4" ht="15.7" customHeight="1" x14ac:dyDescent="0.3">
      <c r="A238" s="2"/>
      <c r="B238" s="2"/>
      <c r="C238" s="2"/>
      <c r="D238" s="2"/>
    </row>
    <row r="239" spans="1:4" ht="15.7" customHeight="1" x14ac:dyDescent="0.3">
      <c r="A239" s="2"/>
      <c r="B239" s="2"/>
      <c r="C239" s="2"/>
      <c r="D239" s="2"/>
    </row>
    <row r="240" spans="1:4" ht="15.7" customHeight="1" x14ac:dyDescent="0.3">
      <c r="A240" s="2"/>
      <c r="B240" s="2"/>
      <c r="C240" s="2"/>
      <c r="D240" s="2"/>
    </row>
    <row r="241" spans="1:4" ht="15.7" customHeight="1" x14ac:dyDescent="0.3">
      <c r="A241" s="2"/>
      <c r="B241" s="2"/>
      <c r="C241" s="2"/>
      <c r="D241" s="2"/>
    </row>
    <row r="242" spans="1:4" ht="15.7" customHeight="1" x14ac:dyDescent="0.3">
      <c r="A242" s="2"/>
      <c r="B242" s="2"/>
      <c r="C242" s="2"/>
      <c r="D242" s="2"/>
    </row>
    <row r="243" spans="1:4" ht="15.7" customHeight="1" x14ac:dyDescent="0.3">
      <c r="A243" s="2"/>
      <c r="B243" s="2"/>
      <c r="C243" s="2"/>
      <c r="D243" s="2"/>
    </row>
    <row r="244" spans="1:4" ht="15.7" customHeight="1" x14ac:dyDescent="0.3">
      <c r="A244" s="2"/>
      <c r="B244" s="2"/>
      <c r="C244" s="2"/>
      <c r="D244" s="2"/>
    </row>
    <row r="245" spans="1:4" ht="15.7" customHeight="1" x14ac:dyDescent="0.3">
      <c r="A245" s="2"/>
      <c r="B245" s="2"/>
      <c r="C245" s="2"/>
      <c r="D245" s="2"/>
    </row>
    <row r="246" spans="1:4" ht="15.7" customHeight="1" x14ac:dyDescent="0.3">
      <c r="A246" s="2"/>
      <c r="B246" s="2"/>
      <c r="C246" s="2"/>
      <c r="D246" s="2"/>
    </row>
    <row r="247" spans="1:4" ht="15.7" customHeight="1" x14ac:dyDescent="0.3">
      <c r="A247" s="2"/>
      <c r="B247" s="2"/>
      <c r="C247" s="2"/>
      <c r="D247" s="2"/>
    </row>
    <row r="248" spans="1:4" ht="15.7" customHeight="1" x14ac:dyDescent="0.3">
      <c r="A248" s="2"/>
      <c r="B248" s="2"/>
      <c r="C248" s="2"/>
      <c r="D248" s="2"/>
    </row>
    <row r="249" spans="1:4" ht="15.7" customHeight="1" x14ac:dyDescent="0.3">
      <c r="A249" s="2"/>
      <c r="B249" s="2"/>
      <c r="C249" s="2"/>
      <c r="D249" s="2"/>
    </row>
    <row r="250" spans="1:4" ht="15.7" customHeight="1" x14ac:dyDescent="0.3">
      <c r="A250" s="2"/>
      <c r="B250" s="2"/>
      <c r="C250" s="2"/>
      <c r="D250" s="2"/>
    </row>
    <row r="251" spans="1:4" ht="15.7" customHeight="1" x14ac:dyDescent="0.3">
      <c r="A251" s="2"/>
      <c r="B251" s="2"/>
      <c r="C251" s="2"/>
      <c r="D251" s="2"/>
    </row>
    <row r="252" spans="1:4" ht="15.7" customHeight="1" x14ac:dyDescent="0.3">
      <c r="A252" s="2"/>
      <c r="B252" s="2"/>
      <c r="C252" s="2"/>
      <c r="D252" s="2"/>
    </row>
    <row r="253" spans="1:4" ht="15.7" customHeight="1" x14ac:dyDescent="0.3">
      <c r="A253" s="2"/>
      <c r="B253" s="2"/>
      <c r="C253" s="2"/>
      <c r="D253" s="2"/>
    </row>
    <row r="254" spans="1:4" ht="15.7" customHeight="1" x14ac:dyDescent="0.3">
      <c r="A254" s="2"/>
      <c r="B254" s="2"/>
      <c r="C254" s="2"/>
      <c r="D254" s="2"/>
    </row>
    <row r="255" spans="1:4" ht="15.7" customHeight="1" x14ac:dyDescent="0.3">
      <c r="A255" s="2"/>
      <c r="B255" s="2"/>
      <c r="C255" s="2"/>
      <c r="D255" s="2"/>
    </row>
    <row r="256" spans="1:4" ht="15.7" customHeight="1" x14ac:dyDescent="0.3">
      <c r="A256" s="2"/>
      <c r="B256" s="2"/>
      <c r="C256" s="2"/>
      <c r="D256" s="2"/>
    </row>
    <row r="257" spans="1:4" ht="15.7" customHeight="1" x14ac:dyDescent="0.3">
      <c r="A257" s="2"/>
      <c r="B257" s="2"/>
      <c r="C257" s="2"/>
      <c r="D257" s="2"/>
    </row>
    <row r="258" spans="1:4" ht="15.7" customHeight="1" x14ac:dyDescent="0.3">
      <c r="A258" s="2"/>
      <c r="B258" s="2"/>
      <c r="C258" s="2"/>
      <c r="D258" s="2"/>
    </row>
    <row r="259" spans="1:4" ht="15.7" customHeight="1" x14ac:dyDescent="0.3">
      <c r="A259" s="2"/>
      <c r="B259" s="2"/>
      <c r="C259" s="2"/>
      <c r="D259" s="2"/>
    </row>
    <row r="260" spans="1:4" ht="15.7" customHeight="1" x14ac:dyDescent="0.3">
      <c r="A260" s="2"/>
      <c r="B260" s="2"/>
      <c r="C260" s="2"/>
      <c r="D260" s="2"/>
    </row>
    <row r="261" spans="1:4" ht="15.7" customHeight="1" x14ac:dyDescent="0.3">
      <c r="A261" s="2"/>
      <c r="B261" s="2"/>
      <c r="C261" s="2"/>
      <c r="D261" s="2"/>
    </row>
    <row r="262" spans="1:4" ht="15.7" customHeight="1" x14ac:dyDescent="0.3">
      <c r="A262" s="2"/>
      <c r="B262" s="2"/>
      <c r="C262" s="2"/>
      <c r="D262" s="2"/>
    </row>
    <row r="263" spans="1:4" ht="15.7" customHeight="1" x14ac:dyDescent="0.3">
      <c r="A263" s="2"/>
      <c r="B263" s="2"/>
      <c r="C263" s="2"/>
      <c r="D263" s="2"/>
    </row>
    <row r="264" spans="1:4" ht="15.7" customHeight="1" x14ac:dyDescent="0.3">
      <c r="A264" s="2"/>
      <c r="B264" s="2"/>
      <c r="C264" s="2"/>
      <c r="D264" s="2"/>
    </row>
    <row r="265" spans="1:4" ht="15.7" customHeight="1" x14ac:dyDescent="0.3">
      <c r="A265" s="2"/>
      <c r="B265" s="2"/>
      <c r="C265" s="2"/>
      <c r="D265" s="2"/>
    </row>
    <row r="266" spans="1:4" ht="15.7" customHeight="1" x14ac:dyDescent="0.3">
      <c r="A266" s="2"/>
      <c r="B266" s="2"/>
      <c r="C266" s="2"/>
      <c r="D266" s="2"/>
    </row>
    <row r="267" spans="1:4" ht="15.7" customHeight="1" x14ac:dyDescent="0.3">
      <c r="A267" s="2"/>
      <c r="B267" s="2"/>
      <c r="C267" s="2"/>
      <c r="D267" s="2"/>
    </row>
    <row r="268" spans="1:4" ht="15.7" customHeight="1" x14ac:dyDescent="0.3">
      <c r="A268" s="2"/>
      <c r="B268" s="2"/>
      <c r="C268" s="2"/>
      <c r="D268" s="2"/>
    </row>
    <row r="269" spans="1:4" ht="15.7" customHeight="1" x14ac:dyDescent="0.3">
      <c r="A269" s="2"/>
      <c r="B269" s="2"/>
      <c r="C269" s="2"/>
      <c r="D269" s="2"/>
    </row>
    <row r="270" spans="1:4" ht="15.7" customHeight="1" x14ac:dyDescent="0.3">
      <c r="A270" s="2"/>
      <c r="B270" s="2"/>
      <c r="C270" s="2"/>
      <c r="D270" s="2"/>
    </row>
    <row r="271" spans="1:4" ht="15.7" customHeight="1" x14ac:dyDescent="0.3">
      <c r="A271" s="2"/>
      <c r="B271" s="2"/>
      <c r="C271" s="2"/>
      <c r="D271" s="2"/>
    </row>
    <row r="272" spans="1:4" ht="15.7" customHeight="1" x14ac:dyDescent="0.3">
      <c r="A272" s="2"/>
      <c r="B272" s="2"/>
      <c r="C272" s="2"/>
      <c r="D272" s="2"/>
    </row>
    <row r="273" spans="1:4" ht="15.7" customHeight="1" x14ac:dyDescent="0.3">
      <c r="A273" s="2"/>
      <c r="B273" s="2"/>
      <c r="C273" s="2"/>
      <c r="D273" s="2"/>
    </row>
    <row r="274" spans="1:4" ht="15.7" customHeight="1" x14ac:dyDescent="0.3">
      <c r="A274" s="2"/>
      <c r="B274" s="2"/>
      <c r="C274" s="2"/>
      <c r="D274" s="2"/>
    </row>
    <row r="275" spans="1:4" ht="15.7" customHeight="1" x14ac:dyDescent="0.3">
      <c r="A275" s="2"/>
      <c r="B275" s="2"/>
      <c r="C275" s="2"/>
      <c r="D275" s="2"/>
    </row>
    <row r="276" spans="1:4" ht="15.7" customHeight="1" x14ac:dyDescent="0.3">
      <c r="A276" s="2"/>
      <c r="B276" s="2"/>
      <c r="C276" s="2"/>
      <c r="D276" s="2"/>
    </row>
    <row r="277" spans="1:4" ht="15.7" customHeight="1" x14ac:dyDescent="0.3">
      <c r="A277" s="2"/>
      <c r="B277" s="2"/>
      <c r="C277" s="2"/>
      <c r="D277" s="2"/>
    </row>
    <row r="278" spans="1:4" ht="15.7" customHeight="1" x14ac:dyDescent="0.3">
      <c r="A278" s="2"/>
      <c r="B278" s="2"/>
      <c r="C278" s="2"/>
      <c r="D278" s="2"/>
    </row>
    <row r="279" spans="1:4" ht="15.7" customHeight="1" x14ac:dyDescent="0.3">
      <c r="A279" s="2"/>
      <c r="B279" s="2"/>
      <c r="C279" s="2"/>
      <c r="D279" s="2"/>
    </row>
    <row r="280" spans="1:4" ht="15.7" customHeight="1" x14ac:dyDescent="0.3">
      <c r="A280" s="2"/>
      <c r="B280" s="2"/>
      <c r="C280" s="2"/>
      <c r="D280" s="2"/>
    </row>
    <row r="281" spans="1:4" ht="15.7" customHeight="1" x14ac:dyDescent="0.3">
      <c r="A281" s="2"/>
      <c r="B281" s="2"/>
      <c r="C281" s="2"/>
      <c r="D281" s="2"/>
    </row>
    <row r="282" spans="1:4" ht="15.7" customHeight="1" x14ac:dyDescent="0.3">
      <c r="A282" s="2"/>
      <c r="B282" s="2"/>
      <c r="C282" s="2"/>
      <c r="D282" s="2"/>
    </row>
    <row r="283" spans="1:4" ht="15.7" customHeight="1" x14ac:dyDescent="0.3">
      <c r="A283" s="2"/>
      <c r="B283" s="2"/>
      <c r="C283" s="2"/>
      <c r="D283" s="2"/>
    </row>
    <row r="284" spans="1:4" ht="15.7" customHeight="1" x14ac:dyDescent="0.3">
      <c r="A284" s="2"/>
      <c r="B284" s="2"/>
      <c r="C284" s="2"/>
      <c r="D284" s="2"/>
    </row>
    <row r="285" spans="1:4" ht="15.7" customHeight="1" x14ac:dyDescent="0.3">
      <c r="A285" s="2"/>
      <c r="B285" s="2"/>
      <c r="C285" s="2"/>
      <c r="D285" s="2"/>
    </row>
    <row r="286" spans="1:4" ht="15.7" customHeight="1" x14ac:dyDescent="0.3">
      <c r="A286" s="2"/>
      <c r="B286" s="2"/>
      <c r="C286" s="2"/>
      <c r="D286" s="2"/>
    </row>
    <row r="287" spans="1:4" ht="15.7" customHeight="1" x14ac:dyDescent="0.3">
      <c r="A287" s="2"/>
      <c r="B287" s="2"/>
      <c r="C287" s="2"/>
      <c r="D287" s="2"/>
    </row>
    <row r="288" spans="1:4" ht="15.7" customHeight="1" x14ac:dyDescent="0.3">
      <c r="A288" s="2"/>
      <c r="B288" s="2"/>
      <c r="C288" s="2"/>
      <c r="D288" s="2"/>
    </row>
    <row r="289" spans="1:4" ht="15.7" customHeight="1" x14ac:dyDescent="0.3">
      <c r="A289" s="2"/>
      <c r="B289" s="2"/>
      <c r="C289" s="2"/>
      <c r="D289" s="2"/>
    </row>
    <row r="290" spans="1:4" ht="15.7" customHeight="1" x14ac:dyDescent="0.3">
      <c r="A290" s="2"/>
      <c r="B290" s="2"/>
      <c r="C290" s="2"/>
      <c r="D290" s="2"/>
    </row>
    <row r="291" spans="1:4" ht="15.7" customHeight="1" x14ac:dyDescent="0.3">
      <c r="A291" s="2"/>
      <c r="B291" s="2"/>
      <c r="C291" s="2"/>
      <c r="D291" s="2"/>
    </row>
    <row r="292" spans="1:4" ht="15.7" customHeight="1" x14ac:dyDescent="0.3">
      <c r="A292" s="2"/>
      <c r="B292" s="2"/>
      <c r="C292" s="2"/>
      <c r="D292" s="2"/>
    </row>
    <row r="293" spans="1:4" ht="15.7" customHeight="1" x14ac:dyDescent="0.3">
      <c r="A293" s="2"/>
      <c r="B293" s="2"/>
      <c r="C293" s="2"/>
      <c r="D293" s="2"/>
    </row>
    <row r="294" spans="1:4" ht="15.7" customHeight="1" x14ac:dyDescent="0.3">
      <c r="A294" s="2"/>
      <c r="B294" s="2"/>
      <c r="C294" s="2"/>
      <c r="D294" s="2"/>
    </row>
    <row r="295" spans="1:4" ht="15.7" customHeight="1" x14ac:dyDescent="0.3">
      <c r="A295" s="2"/>
      <c r="B295" s="2"/>
      <c r="C295" s="2"/>
      <c r="D295" s="2"/>
    </row>
    <row r="296" spans="1:4" ht="15.7" customHeight="1" x14ac:dyDescent="0.3">
      <c r="A296" s="2"/>
      <c r="B296" s="2"/>
      <c r="C296" s="2"/>
      <c r="D296" s="2"/>
    </row>
    <row r="297" spans="1:4" ht="15.7" customHeight="1" x14ac:dyDescent="0.3">
      <c r="A297" s="2"/>
      <c r="B297" s="2"/>
      <c r="C297" s="2"/>
      <c r="D297" s="2"/>
    </row>
    <row r="298" spans="1:4" ht="15.7" customHeight="1" x14ac:dyDescent="0.3">
      <c r="A298" s="2"/>
      <c r="B298" s="2"/>
      <c r="C298" s="2"/>
      <c r="D298" s="2"/>
    </row>
    <row r="299" spans="1:4" ht="15.7" customHeight="1" x14ac:dyDescent="0.3">
      <c r="A299" s="2"/>
      <c r="B299" s="2"/>
      <c r="C299" s="2"/>
      <c r="D299" s="2"/>
    </row>
    <row r="300" spans="1:4" ht="15.7" customHeight="1" x14ac:dyDescent="0.3">
      <c r="A300" s="2"/>
      <c r="B300" s="2"/>
      <c r="C300" s="2"/>
      <c r="D300" s="2"/>
    </row>
    <row r="301" spans="1:4" ht="15.7" customHeight="1" x14ac:dyDescent="0.3">
      <c r="A301" s="2"/>
      <c r="B301" s="2"/>
      <c r="C301" s="2"/>
      <c r="D301" s="2"/>
    </row>
    <row r="302" spans="1:4" ht="15.7" customHeight="1" x14ac:dyDescent="0.3">
      <c r="A302" s="2"/>
      <c r="B302" s="2"/>
      <c r="C302" s="2"/>
      <c r="D302" s="2"/>
    </row>
    <row r="303" spans="1:4" ht="15.7" customHeight="1" x14ac:dyDescent="0.3">
      <c r="A303" s="2"/>
      <c r="B303" s="2"/>
      <c r="C303" s="2"/>
      <c r="D303" s="2"/>
    </row>
    <row r="304" spans="1:4" ht="15.7" customHeight="1" x14ac:dyDescent="0.3">
      <c r="A304" s="2"/>
      <c r="B304" s="2"/>
      <c r="C304" s="2"/>
      <c r="D304" s="2"/>
    </row>
    <row r="305" spans="1:4" ht="15.7" customHeight="1" x14ac:dyDescent="0.3">
      <c r="A305" s="2"/>
      <c r="B305" s="2"/>
      <c r="C305" s="2"/>
      <c r="D305" s="2"/>
    </row>
    <row r="306" spans="1:4" ht="15.7" customHeight="1" x14ac:dyDescent="0.3">
      <c r="A306" s="2"/>
      <c r="B306" s="2"/>
      <c r="C306" s="2"/>
      <c r="D306" s="2"/>
    </row>
    <row r="307" spans="1:4" ht="15.7" customHeight="1" x14ac:dyDescent="0.3">
      <c r="A307" s="2"/>
      <c r="B307" s="2"/>
      <c r="C307" s="2"/>
      <c r="D307" s="2"/>
    </row>
    <row r="308" spans="1:4" ht="15.7" customHeight="1" x14ac:dyDescent="0.3">
      <c r="A308" s="2"/>
      <c r="B308" s="2"/>
      <c r="C308" s="2"/>
      <c r="D308" s="2"/>
    </row>
    <row r="309" spans="1:4" ht="15.7" customHeight="1" x14ac:dyDescent="0.3">
      <c r="A309" s="2"/>
      <c r="B309" s="2"/>
      <c r="C309" s="2"/>
      <c r="D309" s="2"/>
    </row>
    <row r="310" spans="1:4" ht="15.7" customHeight="1" x14ac:dyDescent="0.3">
      <c r="A310" s="2"/>
      <c r="B310" s="2"/>
      <c r="C310" s="2"/>
      <c r="D310" s="2"/>
    </row>
    <row r="311" spans="1:4" ht="15.7" customHeight="1" x14ac:dyDescent="0.3">
      <c r="A311" s="2"/>
      <c r="B311" s="2"/>
      <c r="C311" s="2"/>
      <c r="D311" s="2"/>
    </row>
    <row r="312" spans="1:4" ht="15.7" customHeight="1" x14ac:dyDescent="0.3">
      <c r="A312" s="2"/>
      <c r="B312" s="2"/>
      <c r="C312" s="2"/>
      <c r="D312" s="2"/>
    </row>
    <row r="313" spans="1:4" ht="15.7" customHeight="1" x14ac:dyDescent="0.3">
      <c r="A313" s="2"/>
      <c r="B313" s="2"/>
      <c r="C313" s="2"/>
      <c r="D313" s="2"/>
    </row>
    <row r="314" spans="1:4" ht="15.7" customHeight="1" x14ac:dyDescent="0.3">
      <c r="A314" s="2"/>
      <c r="B314" s="2"/>
      <c r="C314" s="2"/>
      <c r="D314" s="2"/>
    </row>
    <row r="315" spans="1:4" ht="15.7" customHeight="1" x14ac:dyDescent="0.3">
      <c r="A315" s="2"/>
      <c r="B315" s="2"/>
      <c r="C315" s="2"/>
      <c r="D315" s="2"/>
    </row>
    <row r="316" spans="1:4" ht="15.7" customHeight="1" x14ac:dyDescent="0.3">
      <c r="A316" s="2"/>
      <c r="B316" s="2"/>
      <c r="C316" s="2"/>
      <c r="D316" s="2"/>
    </row>
    <row r="317" spans="1:4" ht="15.7" customHeight="1" x14ac:dyDescent="0.3">
      <c r="A317" s="2"/>
      <c r="B317" s="2"/>
      <c r="C317" s="2"/>
      <c r="D317" s="2"/>
    </row>
    <row r="318" spans="1:4" ht="15.7" customHeight="1" x14ac:dyDescent="0.3">
      <c r="A318" s="2"/>
      <c r="B318" s="2"/>
      <c r="C318" s="2"/>
      <c r="D318" s="2"/>
    </row>
    <row r="319" spans="1:4" ht="15.7" customHeight="1" x14ac:dyDescent="0.3">
      <c r="A319" s="2"/>
      <c r="B319" s="2"/>
      <c r="C319" s="2"/>
      <c r="D319" s="2"/>
    </row>
    <row r="320" spans="1:4" ht="15.7" customHeight="1" x14ac:dyDescent="0.3">
      <c r="A320" s="2"/>
      <c r="B320" s="2"/>
      <c r="C320" s="2"/>
      <c r="D320" s="2"/>
    </row>
    <row r="321" spans="1:4" ht="15.7" customHeight="1" x14ac:dyDescent="0.3">
      <c r="A321" s="2"/>
      <c r="B321" s="2"/>
      <c r="C321" s="2"/>
      <c r="D321" s="2"/>
    </row>
    <row r="322" spans="1:4" ht="15.7" customHeight="1" x14ac:dyDescent="0.3">
      <c r="A322" s="2"/>
      <c r="B322" s="2"/>
      <c r="C322" s="2"/>
      <c r="D322" s="2"/>
    </row>
    <row r="323" spans="1:4" ht="15.7" customHeight="1" x14ac:dyDescent="0.3">
      <c r="A323" s="2"/>
      <c r="B323" s="2"/>
      <c r="C323" s="2"/>
      <c r="D323" s="2"/>
    </row>
    <row r="324" spans="1:4" ht="15.7" customHeight="1" x14ac:dyDescent="0.3">
      <c r="A324" s="2"/>
      <c r="B324" s="2"/>
      <c r="C324" s="2"/>
      <c r="D324" s="2"/>
    </row>
    <row r="325" spans="1:4" ht="15.7" customHeight="1" x14ac:dyDescent="0.3">
      <c r="A325" s="2"/>
      <c r="B325" s="2"/>
      <c r="C325" s="2"/>
      <c r="D325" s="2"/>
    </row>
    <row r="326" spans="1:4" ht="15.7" customHeight="1" x14ac:dyDescent="0.3">
      <c r="A326" s="2"/>
      <c r="B326" s="2"/>
      <c r="C326" s="2"/>
      <c r="D326" s="2"/>
    </row>
    <row r="327" spans="1:4" ht="15.7" customHeight="1" x14ac:dyDescent="0.3">
      <c r="A327" s="2"/>
      <c r="B327" s="2"/>
      <c r="C327" s="2"/>
      <c r="D327" s="2"/>
    </row>
    <row r="328" spans="1:4" ht="15.7" customHeight="1" x14ac:dyDescent="0.3">
      <c r="A328" s="2"/>
      <c r="B328" s="2"/>
      <c r="C328" s="2"/>
      <c r="D328" s="2"/>
    </row>
    <row r="329" spans="1:4" ht="15.7" customHeight="1" x14ac:dyDescent="0.3">
      <c r="A329" s="2"/>
      <c r="B329" s="2"/>
      <c r="C329" s="2"/>
      <c r="D329" s="2"/>
    </row>
    <row r="330" spans="1:4" ht="15.7" customHeight="1" x14ac:dyDescent="0.3">
      <c r="A330" s="2"/>
      <c r="B330" s="2"/>
      <c r="C330" s="2"/>
      <c r="D330" s="2"/>
    </row>
    <row r="331" spans="1:4" ht="15.7" customHeight="1" x14ac:dyDescent="0.3">
      <c r="A331" s="2"/>
      <c r="B331" s="2"/>
      <c r="C331" s="2"/>
      <c r="D331" s="2"/>
    </row>
    <row r="332" spans="1:4" ht="15.7" customHeight="1" x14ac:dyDescent="0.3">
      <c r="A332" s="2"/>
      <c r="B332" s="2"/>
      <c r="C332" s="2"/>
      <c r="D332" s="2"/>
    </row>
    <row r="333" spans="1:4" ht="15.7" customHeight="1" x14ac:dyDescent="0.3">
      <c r="A333" s="2"/>
      <c r="B333" s="2"/>
      <c r="C333" s="2"/>
      <c r="D333" s="2"/>
    </row>
    <row r="334" spans="1:4" ht="15.7" customHeight="1" x14ac:dyDescent="0.3">
      <c r="A334" s="2"/>
      <c r="B334" s="2"/>
      <c r="C334" s="2"/>
      <c r="D334" s="2"/>
    </row>
    <row r="335" spans="1:4" ht="15.7" customHeight="1" x14ac:dyDescent="0.3">
      <c r="A335" s="2"/>
      <c r="B335" s="2"/>
      <c r="C335" s="2"/>
      <c r="D335" s="2"/>
    </row>
    <row r="336" spans="1:4" ht="15.7" customHeight="1" x14ac:dyDescent="0.3">
      <c r="A336" s="2"/>
      <c r="B336" s="2"/>
      <c r="C336" s="2"/>
      <c r="D336" s="2"/>
    </row>
    <row r="337" spans="1:4" ht="15.7" customHeight="1" x14ac:dyDescent="0.3">
      <c r="A337" s="2"/>
      <c r="B337" s="2"/>
      <c r="C337" s="2"/>
      <c r="D337" s="2"/>
    </row>
    <row r="338" spans="1:4" ht="15.7" customHeight="1" x14ac:dyDescent="0.3">
      <c r="A338" s="2"/>
      <c r="B338" s="2"/>
      <c r="C338" s="2"/>
      <c r="D338" s="2"/>
    </row>
    <row r="339" spans="1:4" ht="15.7" customHeight="1" x14ac:dyDescent="0.3">
      <c r="A339" s="2"/>
      <c r="B339" s="2"/>
      <c r="C339" s="2"/>
      <c r="D339" s="2"/>
    </row>
    <row r="340" spans="1:4" ht="15.7" customHeight="1" x14ac:dyDescent="0.3">
      <c r="A340" s="2"/>
      <c r="B340" s="2"/>
      <c r="C340" s="2"/>
      <c r="D340" s="2"/>
    </row>
    <row r="341" spans="1:4" ht="15.7" customHeight="1" x14ac:dyDescent="0.3">
      <c r="A341" s="2"/>
      <c r="B341" s="2"/>
      <c r="C341" s="2"/>
      <c r="D341" s="2"/>
    </row>
    <row r="342" spans="1:4" ht="15.7" customHeight="1" x14ac:dyDescent="0.3">
      <c r="A342" s="2"/>
      <c r="B342" s="2"/>
      <c r="C342" s="2"/>
      <c r="D342" s="2"/>
    </row>
    <row r="343" spans="1:4" ht="15.7" customHeight="1" x14ac:dyDescent="0.3">
      <c r="A343" s="2"/>
      <c r="B343" s="2"/>
      <c r="C343" s="2"/>
      <c r="D343" s="2"/>
    </row>
    <row r="344" spans="1:4" ht="15.7" customHeight="1" x14ac:dyDescent="0.3">
      <c r="A344" s="2"/>
      <c r="B344" s="2"/>
      <c r="C344" s="2"/>
      <c r="D344" s="2"/>
    </row>
    <row r="345" spans="1:4" ht="15.7" customHeight="1" x14ac:dyDescent="0.3">
      <c r="A345" s="2"/>
      <c r="B345" s="2"/>
      <c r="C345" s="2"/>
      <c r="D345" s="2"/>
    </row>
    <row r="346" spans="1:4" ht="15.7" customHeight="1" x14ac:dyDescent="0.3">
      <c r="A346" s="2"/>
      <c r="B346" s="2"/>
      <c r="C346" s="2"/>
      <c r="D346" s="2"/>
    </row>
    <row r="347" spans="1:4" ht="15.7" customHeight="1" x14ac:dyDescent="0.3">
      <c r="A347" s="2"/>
      <c r="B347" s="2"/>
      <c r="C347" s="2"/>
      <c r="D347" s="2"/>
    </row>
    <row r="348" spans="1:4" ht="15.7" customHeight="1" x14ac:dyDescent="0.3">
      <c r="A348" s="2"/>
      <c r="B348" s="2"/>
      <c r="C348" s="2"/>
      <c r="D348" s="2"/>
    </row>
    <row r="349" spans="1:4" ht="15.7" customHeight="1" x14ac:dyDescent="0.3">
      <c r="A349" s="2"/>
      <c r="B349" s="2"/>
      <c r="C349" s="2"/>
      <c r="D349" s="2"/>
    </row>
    <row r="350" spans="1:4" ht="15.7" customHeight="1" x14ac:dyDescent="0.3">
      <c r="A350" s="2"/>
      <c r="B350" s="2"/>
      <c r="C350" s="2"/>
      <c r="D350" s="2"/>
    </row>
    <row r="351" spans="1:4" ht="15.7" customHeight="1" x14ac:dyDescent="0.3">
      <c r="A351" s="2"/>
      <c r="B351" s="2"/>
      <c r="C351" s="2"/>
      <c r="D351" s="2"/>
    </row>
    <row r="352" spans="1:4" ht="15.7" customHeight="1" x14ac:dyDescent="0.3">
      <c r="A352" s="2"/>
      <c r="B352" s="2"/>
      <c r="C352" s="2"/>
      <c r="D352" s="2"/>
    </row>
    <row r="353" spans="1:4" ht="15.7" customHeight="1" x14ac:dyDescent="0.3">
      <c r="A353" s="2"/>
      <c r="B353" s="2"/>
      <c r="C353" s="2"/>
      <c r="D353" s="2"/>
    </row>
    <row r="354" spans="1:4" ht="15.7" customHeight="1" x14ac:dyDescent="0.3">
      <c r="A354" s="2"/>
      <c r="B354" s="2"/>
      <c r="C354" s="2"/>
      <c r="D354" s="2"/>
    </row>
    <row r="355" spans="1:4" ht="15.7" customHeight="1" x14ac:dyDescent="0.3">
      <c r="A355" s="2"/>
      <c r="B355" s="2"/>
      <c r="C355" s="2"/>
      <c r="D355" s="2"/>
    </row>
    <row r="356" spans="1:4" ht="15.7" customHeight="1" x14ac:dyDescent="0.3">
      <c r="A356" s="2"/>
      <c r="B356" s="2"/>
      <c r="C356" s="2"/>
      <c r="D356" s="2"/>
    </row>
    <row r="357" spans="1:4" ht="15.7" customHeight="1" x14ac:dyDescent="0.3">
      <c r="A357" s="2"/>
      <c r="B357" s="2"/>
      <c r="C357" s="2"/>
      <c r="D357" s="2"/>
    </row>
    <row r="358" spans="1:4" ht="15.7" customHeight="1" x14ac:dyDescent="0.3">
      <c r="A358" s="2"/>
      <c r="B358" s="2"/>
      <c r="C358" s="2"/>
      <c r="D358" s="2"/>
    </row>
    <row r="359" spans="1:4" ht="15.7" customHeight="1" x14ac:dyDescent="0.3">
      <c r="A359" s="2"/>
      <c r="B359" s="2"/>
      <c r="C359" s="2"/>
      <c r="D359" s="2"/>
    </row>
    <row r="360" spans="1:4" ht="15.7" customHeight="1" x14ac:dyDescent="0.3">
      <c r="A360" s="2"/>
      <c r="B360" s="2"/>
      <c r="C360" s="2"/>
      <c r="D360" s="2"/>
    </row>
    <row r="361" spans="1:4" ht="15.7" customHeight="1" x14ac:dyDescent="0.3">
      <c r="A361" s="2"/>
      <c r="B361" s="2"/>
      <c r="C361" s="2"/>
      <c r="D361" s="2"/>
    </row>
    <row r="362" spans="1:4" ht="15.7" customHeight="1" x14ac:dyDescent="0.3">
      <c r="A362" s="2"/>
      <c r="B362" s="2"/>
      <c r="C362" s="2"/>
      <c r="D362" s="2"/>
    </row>
    <row r="363" spans="1:4" ht="15.7" customHeight="1" x14ac:dyDescent="0.3">
      <c r="A363" s="2"/>
      <c r="B363" s="2"/>
      <c r="C363" s="2"/>
      <c r="D363" s="2"/>
    </row>
    <row r="364" spans="1:4" ht="15.7" customHeight="1" x14ac:dyDescent="0.3">
      <c r="A364" s="2"/>
      <c r="B364" s="2"/>
      <c r="C364" s="2"/>
      <c r="D364" s="2"/>
    </row>
    <row r="365" spans="1:4" ht="15.7" customHeight="1" x14ac:dyDescent="0.3">
      <c r="A365" s="2"/>
      <c r="B365" s="2"/>
      <c r="C365" s="2"/>
      <c r="D365" s="2"/>
    </row>
    <row r="366" spans="1:4" ht="15.7" customHeight="1" x14ac:dyDescent="0.3">
      <c r="A366" s="2"/>
      <c r="B366" s="2"/>
      <c r="C366" s="2"/>
      <c r="D366" s="2"/>
    </row>
    <row r="367" spans="1:4" ht="15.7" customHeight="1" x14ac:dyDescent="0.3">
      <c r="A367" s="2"/>
      <c r="B367" s="2"/>
      <c r="C367" s="2"/>
      <c r="D367" s="2"/>
    </row>
    <row r="368" spans="1:4" ht="15.7" customHeight="1" x14ac:dyDescent="0.3">
      <c r="A368" s="2"/>
      <c r="B368" s="2"/>
      <c r="C368" s="2"/>
      <c r="D368" s="2"/>
    </row>
    <row r="369" spans="1:4" ht="15.7" customHeight="1" x14ac:dyDescent="0.3">
      <c r="A369" s="2"/>
      <c r="B369" s="2"/>
      <c r="C369" s="2"/>
      <c r="D369" s="2"/>
    </row>
    <row r="370" spans="1:4" ht="15.7" customHeight="1" x14ac:dyDescent="0.3">
      <c r="A370" s="2"/>
      <c r="B370" s="2"/>
      <c r="C370" s="2"/>
      <c r="D370" s="2"/>
    </row>
    <row r="371" spans="1:4" ht="15.7" customHeight="1" x14ac:dyDescent="0.3">
      <c r="A371" s="2"/>
      <c r="B371" s="2"/>
      <c r="C371" s="2"/>
      <c r="D371" s="2"/>
    </row>
    <row r="372" spans="1:4" ht="15.7" customHeight="1" x14ac:dyDescent="0.3">
      <c r="A372" s="2"/>
      <c r="B372" s="2"/>
      <c r="C372" s="2"/>
      <c r="D372" s="2"/>
    </row>
    <row r="373" spans="1:4" ht="15.7" customHeight="1" x14ac:dyDescent="0.3">
      <c r="A373" s="2"/>
      <c r="B373" s="2"/>
      <c r="C373" s="2"/>
      <c r="D373" s="2"/>
    </row>
    <row r="374" spans="1:4" ht="15.7" customHeight="1" x14ac:dyDescent="0.3">
      <c r="A374" s="2"/>
      <c r="B374" s="2"/>
      <c r="C374" s="2"/>
      <c r="D374" s="2"/>
    </row>
    <row r="375" spans="1:4" ht="15.7" customHeight="1" x14ac:dyDescent="0.3">
      <c r="A375" s="2"/>
      <c r="B375" s="2"/>
      <c r="C375" s="2"/>
      <c r="D375" s="2"/>
    </row>
    <row r="376" spans="1:4" ht="15.7" customHeight="1" x14ac:dyDescent="0.3">
      <c r="A376" s="2"/>
      <c r="B376" s="2"/>
      <c r="C376" s="2"/>
      <c r="D376" s="2"/>
    </row>
    <row r="377" spans="1:4" ht="15.7" customHeight="1" x14ac:dyDescent="0.3">
      <c r="A377" s="2"/>
      <c r="B377" s="2"/>
      <c r="C377" s="2"/>
      <c r="D377" s="2"/>
    </row>
    <row r="378" spans="1:4" ht="15.7" customHeight="1" x14ac:dyDescent="0.3">
      <c r="A378" s="2"/>
      <c r="B378" s="2"/>
      <c r="C378" s="2"/>
      <c r="D378" s="2"/>
    </row>
    <row r="379" spans="1:4" ht="15.7" customHeight="1" x14ac:dyDescent="0.3">
      <c r="A379" s="2"/>
      <c r="B379" s="2"/>
      <c r="C379" s="2"/>
      <c r="D379" s="2"/>
    </row>
    <row r="380" spans="1:4" ht="15.7" customHeight="1" x14ac:dyDescent="0.3">
      <c r="A380" s="2"/>
      <c r="B380" s="2"/>
      <c r="C380" s="2"/>
      <c r="D380" s="2"/>
    </row>
    <row r="381" spans="1:4" ht="15.7" customHeight="1" x14ac:dyDescent="0.3">
      <c r="A381" s="2"/>
      <c r="B381" s="2"/>
      <c r="C381" s="2"/>
      <c r="D381" s="2"/>
    </row>
    <row r="382" spans="1:4" ht="15.7" customHeight="1" x14ac:dyDescent="0.3">
      <c r="A382" s="2"/>
      <c r="B382" s="2"/>
      <c r="C382" s="2"/>
      <c r="D382" s="2"/>
    </row>
    <row r="383" spans="1:4" ht="15.7" customHeight="1" x14ac:dyDescent="0.3">
      <c r="A383" s="2"/>
      <c r="B383" s="2"/>
      <c r="C383" s="2"/>
      <c r="D383" s="2"/>
    </row>
    <row r="384" spans="1:4" ht="15.7" customHeight="1" x14ac:dyDescent="0.3">
      <c r="A384" s="2"/>
      <c r="B384" s="2"/>
      <c r="C384" s="2"/>
      <c r="D384" s="2"/>
    </row>
    <row r="385" spans="1:4" ht="15.7" customHeight="1" x14ac:dyDescent="0.3">
      <c r="A385" s="2"/>
      <c r="B385" s="2"/>
      <c r="C385" s="2"/>
      <c r="D385" s="2"/>
    </row>
    <row r="386" spans="1:4" ht="15.7" customHeight="1" x14ac:dyDescent="0.3">
      <c r="A386" s="2"/>
      <c r="B386" s="2"/>
      <c r="C386" s="2"/>
      <c r="D386" s="2"/>
    </row>
    <row r="387" spans="1:4" ht="15.7" customHeight="1" x14ac:dyDescent="0.3">
      <c r="A387" s="2"/>
      <c r="B387" s="2"/>
      <c r="C387" s="2"/>
      <c r="D387" s="2"/>
    </row>
    <row r="388" spans="1:4" ht="15.7" customHeight="1" x14ac:dyDescent="0.3">
      <c r="A388" s="2"/>
      <c r="B388" s="2"/>
      <c r="C388" s="2"/>
      <c r="D388" s="2"/>
    </row>
    <row r="389" spans="1:4" ht="15.7" customHeight="1" x14ac:dyDescent="0.3">
      <c r="A389" s="2"/>
      <c r="B389" s="2"/>
      <c r="C389" s="2"/>
      <c r="D389" s="2"/>
    </row>
    <row r="390" spans="1:4" ht="15.7" customHeight="1" x14ac:dyDescent="0.3">
      <c r="A390" s="2"/>
      <c r="B390" s="2"/>
      <c r="C390" s="2"/>
      <c r="D390" s="2"/>
    </row>
    <row r="391" spans="1:4" ht="15.7" customHeight="1" x14ac:dyDescent="0.3">
      <c r="A391" s="2"/>
      <c r="B391" s="2"/>
      <c r="C391" s="2"/>
      <c r="D391" s="2"/>
    </row>
    <row r="392" spans="1:4" ht="15.7" customHeight="1" x14ac:dyDescent="0.3">
      <c r="A392" s="2"/>
      <c r="B392" s="2"/>
      <c r="C392" s="2"/>
      <c r="D392" s="2"/>
    </row>
    <row r="393" spans="1:4" ht="15.7" customHeight="1" x14ac:dyDescent="0.3">
      <c r="A393" s="2"/>
      <c r="B393" s="2"/>
      <c r="C393" s="2"/>
      <c r="D393" s="2"/>
    </row>
    <row r="394" spans="1:4" ht="15.7" customHeight="1" x14ac:dyDescent="0.3">
      <c r="A394" s="2"/>
      <c r="B394" s="2"/>
      <c r="C394" s="2"/>
      <c r="D394" s="2"/>
    </row>
    <row r="395" spans="1:4" ht="15.7" customHeight="1" x14ac:dyDescent="0.3">
      <c r="A395" s="2"/>
      <c r="B395" s="2"/>
      <c r="C395" s="2"/>
      <c r="D395" s="2"/>
    </row>
    <row r="396" spans="1:4" ht="15.7" customHeight="1" x14ac:dyDescent="0.3">
      <c r="A396" s="2"/>
      <c r="B396" s="2"/>
      <c r="C396" s="2"/>
      <c r="D396" s="2"/>
    </row>
    <row r="397" spans="1:4" ht="15.7" customHeight="1" x14ac:dyDescent="0.3">
      <c r="A397" s="2"/>
      <c r="B397" s="2"/>
      <c r="C397" s="2"/>
      <c r="D397" s="2"/>
    </row>
    <row r="398" spans="1:4" ht="15.7" customHeight="1" x14ac:dyDescent="0.3">
      <c r="A398" s="2"/>
      <c r="B398" s="2"/>
      <c r="C398" s="2"/>
      <c r="D398" s="2"/>
    </row>
    <row r="399" spans="1:4" ht="15.7" customHeight="1" x14ac:dyDescent="0.3">
      <c r="A399" s="2"/>
      <c r="B399" s="2"/>
      <c r="C399" s="2"/>
      <c r="D399" s="2"/>
    </row>
    <row r="400" spans="1:4" ht="15.7" customHeight="1" x14ac:dyDescent="0.3">
      <c r="A400" s="2"/>
      <c r="B400" s="2"/>
      <c r="C400" s="2"/>
      <c r="D400" s="2"/>
    </row>
    <row r="401" spans="1:4" ht="15.7" customHeight="1" x14ac:dyDescent="0.3">
      <c r="A401" s="2"/>
      <c r="B401" s="2"/>
      <c r="C401" s="2"/>
      <c r="D401" s="2"/>
    </row>
    <row r="402" spans="1:4" ht="15.7" customHeight="1" x14ac:dyDescent="0.3">
      <c r="A402" s="2"/>
      <c r="B402" s="2"/>
      <c r="C402" s="2"/>
      <c r="D402" s="2"/>
    </row>
    <row r="403" spans="1:4" ht="15.7" customHeight="1" x14ac:dyDescent="0.3">
      <c r="A403" s="2"/>
      <c r="B403" s="2"/>
      <c r="C403" s="2"/>
      <c r="D403" s="2"/>
    </row>
    <row r="404" spans="1:4" ht="15.7" customHeight="1" x14ac:dyDescent="0.3">
      <c r="A404" s="2"/>
      <c r="B404" s="2"/>
      <c r="C404" s="2"/>
      <c r="D404" s="2"/>
    </row>
    <row r="405" spans="1:4" ht="15.7" customHeight="1" x14ac:dyDescent="0.3">
      <c r="A405" s="2"/>
      <c r="B405" s="2"/>
      <c r="C405" s="2"/>
      <c r="D405" s="2"/>
    </row>
    <row r="406" spans="1:4" ht="15.7" customHeight="1" x14ac:dyDescent="0.3">
      <c r="A406" s="2"/>
      <c r="B406" s="2"/>
      <c r="C406" s="2"/>
      <c r="D406" s="2"/>
    </row>
    <row r="407" spans="1:4" ht="15.7" customHeight="1" x14ac:dyDescent="0.3">
      <c r="A407" s="2"/>
      <c r="B407" s="2"/>
      <c r="C407" s="2"/>
      <c r="D407" s="2"/>
    </row>
    <row r="408" spans="1:4" ht="15.7" customHeight="1" x14ac:dyDescent="0.3">
      <c r="A408" s="2"/>
      <c r="B408" s="2"/>
      <c r="C408" s="2"/>
      <c r="D408" s="2"/>
    </row>
    <row r="409" spans="1:4" ht="15.7" customHeight="1" x14ac:dyDescent="0.3">
      <c r="A409" s="2"/>
      <c r="B409" s="2"/>
      <c r="C409" s="2"/>
      <c r="D409" s="2"/>
    </row>
    <row r="410" spans="1:4" ht="15.7" customHeight="1" x14ac:dyDescent="0.3">
      <c r="A410" s="2"/>
      <c r="B410" s="2"/>
      <c r="C410" s="2"/>
      <c r="D410" s="2"/>
    </row>
    <row r="411" spans="1:4" ht="15.7" customHeight="1" x14ac:dyDescent="0.3">
      <c r="A411" s="2"/>
      <c r="B411" s="2"/>
      <c r="C411" s="2"/>
      <c r="D411" s="2"/>
    </row>
    <row r="412" spans="1:4" ht="15.7" customHeight="1" x14ac:dyDescent="0.3">
      <c r="A412" s="2"/>
      <c r="B412" s="2"/>
      <c r="C412" s="2"/>
      <c r="D412" s="2"/>
    </row>
    <row r="413" spans="1:4" ht="15.7" customHeight="1" x14ac:dyDescent="0.3">
      <c r="A413" s="2"/>
      <c r="B413" s="2"/>
      <c r="C413" s="2"/>
      <c r="D413" s="2"/>
    </row>
    <row r="414" spans="1:4" ht="15.7" customHeight="1" x14ac:dyDescent="0.3">
      <c r="A414" s="2"/>
      <c r="B414" s="2"/>
      <c r="C414" s="2"/>
      <c r="D414" s="2"/>
    </row>
    <row r="415" spans="1:4" ht="15.7" customHeight="1" x14ac:dyDescent="0.3">
      <c r="A415" s="2"/>
      <c r="B415" s="2"/>
      <c r="C415" s="2"/>
      <c r="D415" s="2"/>
    </row>
    <row r="416" spans="1:4" ht="15.7" customHeight="1" x14ac:dyDescent="0.3">
      <c r="A416" s="2"/>
      <c r="B416" s="2"/>
      <c r="C416" s="2"/>
      <c r="D416" s="2"/>
    </row>
    <row r="417" spans="1:4" ht="15.7" customHeight="1" x14ac:dyDescent="0.3">
      <c r="A417" s="2"/>
      <c r="B417" s="2"/>
      <c r="C417" s="2"/>
      <c r="D417" s="2"/>
    </row>
    <row r="418" spans="1:4" ht="15.7" customHeight="1" x14ac:dyDescent="0.3">
      <c r="A418" s="2"/>
      <c r="B418" s="2"/>
      <c r="C418" s="2"/>
      <c r="D418" s="2"/>
    </row>
    <row r="419" spans="1:4" ht="15.7" customHeight="1" x14ac:dyDescent="0.3">
      <c r="A419" s="2"/>
      <c r="B419" s="2"/>
      <c r="C419" s="2"/>
      <c r="D419" s="2"/>
    </row>
    <row r="420" spans="1:4" ht="15.7" customHeight="1" x14ac:dyDescent="0.3">
      <c r="A420" s="2"/>
      <c r="B420" s="2"/>
      <c r="C420" s="2"/>
      <c r="D420" s="2"/>
    </row>
    <row r="421" spans="1:4" ht="15.7" customHeight="1" x14ac:dyDescent="0.3">
      <c r="A421" s="2"/>
      <c r="B421" s="2"/>
      <c r="C421" s="2"/>
      <c r="D421" s="2"/>
    </row>
    <row r="422" spans="1:4" ht="15.7" customHeight="1" x14ac:dyDescent="0.3">
      <c r="A422" s="2"/>
      <c r="B422" s="2"/>
      <c r="C422" s="2"/>
      <c r="D422" s="2"/>
    </row>
    <row r="423" spans="1:4" ht="15.7" customHeight="1" x14ac:dyDescent="0.3">
      <c r="A423" s="2"/>
      <c r="B423" s="2"/>
      <c r="C423" s="2"/>
      <c r="D423" s="2"/>
    </row>
    <row r="424" spans="1:4" ht="15.7" customHeight="1" x14ac:dyDescent="0.3">
      <c r="A424" s="2"/>
      <c r="B424" s="2"/>
      <c r="C424" s="2"/>
      <c r="D424" s="2"/>
    </row>
    <row r="425" spans="1:4" ht="15.7" customHeight="1" x14ac:dyDescent="0.3">
      <c r="A425" s="2"/>
      <c r="B425" s="2"/>
      <c r="C425" s="2"/>
      <c r="D425" s="2"/>
    </row>
    <row r="426" spans="1:4" ht="15.7" customHeight="1" x14ac:dyDescent="0.3">
      <c r="A426" s="2"/>
      <c r="B426" s="2"/>
      <c r="C426" s="2"/>
      <c r="D426" s="2"/>
    </row>
    <row r="427" spans="1:4" ht="15.7" customHeight="1" x14ac:dyDescent="0.3">
      <c r="A427" s="2"/>
      <c r="B427" s="2"/>
      <c r="C427" s="2"/>
      <c r="D427" s="2"/>
    </row>
    <row r="428" spans="1:4" ht="15.7" customHeight="1" x14ac:dyDescent="0.3">
      <c r="A428" s="2"/>
      <c r="B428" s="2"/>
      <c r="C428" s="2"/>
      <c r="D428" s="2"/>
    </row>
    <row r="429" spans="1:4" ht="15.7" customHeight="1" x14ac:dyDescent="0.3">
      <c r="A429" s="2"/>
      <c r="B429" s="2"/>
      <c r="C429" s="2"/>
      <c r="D429" s="2"/>
    </row>
    <row r="430" spans="1:4" ht="15.7" customHeight="1" x14ac:dyDescent="0.3">
      <c r="A430" s="2"/>
      <c r="B430" s="2"/>
      <c r="C430" s="2"/>
      <c r="D430" s="2"/>
    </row>
    <row r="431" spans="1:4" ht="15.7" customHeight="1" x14ac:dyDescent="0.3">
      <c r="A431" s="2"/>
      <c r="B431" s="2"/>
      <c r="C431" s="2"/>
      <c r="D431" s="2"/>
    </row>
    <row r="432" spans="1:4" ht="15.7" customHeight="1" x14ac:dyDescent="0.3">
      <c r="A432" s="2"/>
      <c r="B432" s="2"/>
      <c r="C432" s="2"/>
      <c r="D432" s="2"/>
    </row>
    <row r="433" spans="1:4" ht="15.7" customHeight="1" x14ac:dyDescent="0.3">
      <c r="A433" s="2"/>
      <c r="B433" s="2"/>
      <c r="C433" s="2"/>
      <c r="D433" s="2"/>
    </row>
    <row r="434" spans="1:4" ht="15.7" customHeight="1" x14ac:dyDescent="0.3">
      <c r="A434" s="2"/>
      <c r="B434" s="2"/>
      <c r="C434" s="2"/>
      <c r="D434" s="2"/>
    </row>
    <row r="435" spans="1:4" ht="15.7" customHeight="1" x14ac:dyDescent="0.3">
      <c r="A435" s="2"/>
      <c r="B435" s="2"/>
      <c r="C435" s="2"/>
      <c r="D435" s="2"/>
    </row>
    <row r="436" spans="1:4" ht="15.7" customHeight="1" x14ac:dyDescent="0.3">
      <c r="A436" s="2"/>
      <c r="B436" s="2"/>
      <c r="C436" s="2"/>
      <c r="D436" s="2"/>
    </row>
    <row r="437" spans="1:4" ht="15.7" customHeight="1" x14ac:dyDescent="0.3">
      <c r="A437" s="2"/>
      <c r="B437" s="2"/>
      <c r="C437" s="2"/>
      <c r="D437" s="2"/>
    </row>
    <row r="438" spans="1:4" ht="15.7" customHeight="1" x14ac:dyDescent="0.3">
      <c r="A438" s="2"/>
      <c r="B438" s="2"/>
      <c r="C438" s="2"/>
      <c r="D438" s="2"/>
    </row>
    <row r="439" spans="1:4" ht="15.7" customHeight="1" x14ac:dyDescent="0.3">
      <c r="A439" s="2"/>
      <c r="B439" s="2"/>
      <c r="C439" s="2"/>
      <c r="D439" s="2"/>
    </row>
    <row r="440" spans="1:4" ht="15.7" customHeight="1" x14ac:dyDescent="0.3">
      <c r="A440" s="2"/>
      <c r="B440" s="2"/>
      <c r="C440" s="2"/>
      <c r="D440" s="2"/>
    </row>
    <row r="441" spans="1:4" ht="15.7" customHeight="1" x14ac:dyDescent="0.3">
      <c r="A441" s="2"/>
      <c r="B441" s="2"/>
      <c r="C441" s="2"/>
      <c r="D441" s="2"/>
    </row>
    <row r="442" spans="1:4" ht="15.7" customHeight="1" x14ac:dyDescent="0.3">
      <c r="A442" s="2"/>
      <c r="B442" s="2"/>
      <c r="C442" s="2"/>
      <c r="D442" s="2"/>
    </row>
    <row r="443" spans="1:4" ht="15.7" customHeight="1" x14ac:dyDescent="0.3">
      <c r="A443" s="2"/>
      <c r="B443" s="2"/>
      <c r="C443" s="2"/>
      <c r="D443" s="2"/>
    </row>
    <row r="444" spans="1:4" ht="15.7" customHeight="1" x14ac:dyDescent="0.3">
      <c r="A444" s="2"/>
      <c r="B444" s="2"/>
      <c r="C444" s="2"/>
      <c r="D444" s="2"/>
    </row>
    <row r="445" spans="1:4" ht="15.7" customHeight="1" x14ac:dyDescent="0.3">
      <c r="A445" s="2"/>
      <c r="B445" s="2"/>
      <c r="C445" s="2"/>
      <c r="D445" s="2"/>
    </row>
    <row r="446" spans="1:4" ht="15.7" customHeight="1" x14ac:dyDescent="0.3">
      <c r="A446" s="2"/>
      <c r="B446" s="2"/>
      <c r="C446" s="2"/>
      <c r="D446" s="2"/>
    </row>
    <row r="447" spans="1:4" ht="15.7" customHeight="1" x14ac:dyDescent="0.3">
      <c r="A447" s="2"/>
      <c r="B447" s="2"/>
      <c r="C447" s="2"/>
      <c r="D447" s="2"/>
    </row>
    <row r="448" spans="1:4" ht="15.7" customHeight="1" x14ac:dyDescent="0.3">
      <c r="A448" s="2"/>
      <c r="B448" s="2"/>
      <c r="C448" s="2"/>
      <c r="D448" s="2"/>
    </row>
    <row r="449" spans="1:4" ht="15.7" customHeight="1" x14ac:dyDescent="0.3">
      <c r="A449" s="2"/>
      <c r="B449" s="2"/>
      <c r="C449" s="2"/>
      <c r="D449" s="2"/>
    </row>
    <row r="450" spans="1:4" ht="15.7" customHeight="1" x14ac:dyDescent="0.3">
      <c r="A450" s="2"/>
      <c r="B450" s="2"/>
      <c r="C450" s="2"/>
      <c r="D450" s="2"/>
    </row>
    <row r="451" spans="1:4" ht="15.7" customHeight="1" x14ac:dyDescent="0.3">
      <c r="A451" s="2"/>
      <c r="B451" s="2"/>
      <c r="C451" s="2"/>
      <c r="D451" s="2"/>
    </row>
    <row r="452" spans="1:4" ht="15.7" customHeight="1" x14ac:dyDescent="0.3">
      <c r="A452" s="2"/>
      <c r="B452" s="2"/>
      <c r="C452" s="2"/>
      <c r="D452" s="2"/>
    </row>
    <row r="453" spans="1:4" ht="15.7" customHeight="1" x14ac:dyDescent="0.3">
      <c r="A453" s="2"/>
      <c r="B453" s="2"/>
      <c r="C453" s="2"/>
      <c r="D453" s="2"/>
    </row>
    <row r="454" spans="1:4" ht="15.7" customHeight="1" x14ac:dyDescent="0.3">
      <c r="A454" s="2"/>
      <c r="B454" s="2"/>
      <c r="C454" s="2"/>
      <c r="D454" s="2"/>
    </row>
    <row r="455" spans="1:4" ht="15.7" customHeight="1" x14ac:dyDescent="0.3">
      <c r="A455" s="2"/>
      <c r="B455" s="2"/>
      <c r="C455" s="2"/>
      <c r="D455" s="2"/>
    </row>
    <row r="456" spans="1:4" ht="15.7" customHeight="1" x14ac:dyDescent="0.3">
      <c r="A456" s="2"/>
      <c r="B456" s="2"/>
      <c r="C456" s="2"/>
      <c r="D456" s="2"/>
    </row>
    <row r="457" spans="1:4" ht="15.7" customHeight="1" x14ac:dyDescent="0.3">
      <c r="A457" s="2"/>
      <c r="B457" s="2"/>
      <c r="C457" s="2"/>
      <c r="D457" s="2"/>
    </row>
    <row r="458" spans="1:4" ht="15.7" customHeight="1" x14ac:dyDescent="0.3">
      <c r="A458" s="2"/>
      <c r="B458" s="2"/>
      <c r="C458" s="2"/>
      <c r="D458" s="2"/>
    </row>
    <row r="459" spans="1:4" ht="15.7" customHeight="1" x14ac:dyDescent="0.3">
      <c r="A459" s="2"/>
      <c r="B459" s="2"/>
      <c r="C459" s="2"/>
      <c r="D459" s="2"/>
    </row>
    <row r="460" spans="1:4" ht="15.7" customHeight="1" x14ac:dyDescent="0.3">
      <c r="A460" s="2"/>
      <c r="B460" s="2"/>
      <c r="C460" s="2"/>
      <c r="D460" s="2"/>
    </row>
    <row r="461" spans="1:4" ht="15.7" customHeight="1" x14ac:dyDescent="0.3">
      <c r="A461" s="2"/>
      <c r="B461" s="2"/>
      <c r="C461" s="2"/>
      <c r="D461" s="2"/>
    </row>
    <row r="462" spans="1:4" ht="15.7" customHeight="1" x14ac:dyDescent="0.3">
      <c r="A462" s="2"/>
      <c r="B462" s="2"/>
      <c r="C462" s="2"/>
      <c r="D462" s="2"/>
    </row>
    <row r="463" spans="1:4" ht="15.7" customHeight="1" x14ac:dyDescent="0.3">
      <c r="A463" s="2"/>
      <c r="B463" s="2"/>
      <c r="C463" s="2"/>
      <c r="D463" s="2"/>
    </row>
    <row r="464" spans="1:4" ht="15.7" customHeight="1" x14ac:dyDescent="0.3">
      <c r="A464" s="2"/>
      <c r="B464" s="2"/>
      <c r="C464" s="2"/>
      <c r="D464" s="2"/>
    </row>
    <row r="465" spans="1:4" ht="15.7" customHeight="1" x14ac:dyDescent="0.3">
      <c r="A465" s="2"/>
      <c r="B465" s="2"/>
      <c r="C465" s="2"/>
      <c r="D465" s="2"/>
    </row>
    <row r="466" spans="1:4" ht="15.7" customHeight="1" x14ac:dyDescent="0.3">
      <c r="A466" s="2"/>
      <c r="B466" s="2"/>
      <c r="C466" s="2"/>
      <c r="D466" s="2"/>
    </row>
    <row r="467" spans="1:4" ht="15.7" customHeight="1" x14ac:dyDescent="0.3">
      <c r="A467" s="2"/>
      <c r="B467" s="2"/>
      <c r="C467" s="2"/>
      <c r="D467" s="2"/>
    </row>
    <row r="468" spans="1:4" ht="15.7" customHeight="1" x14ac:dyDescent="0.3">
      <c r="A468" s="2"/>
      <c r="B468" s="2"/>
      <c r="C468" s="2"/>
      <c r="D468" s="2"/>
    </row>
    <row r="469" spans="1:4" ht="15.7" customHeight="1" x14ac:dyDescent="0.3">
      <c r="A469" s="2"/>
      <c r="B469" s="2"/>
      <c r="C469" s="2"/>
      <c r="D469" s="2"/>
    </row>
    <row r="470" spans="1:4" ht="15.7" customHeight="1" x14ac:dyDescent="0.3">
      <c r="A470" s="2"/>
      <c r="B470" s="2"/>
      <c r="C470" s="2"/>
      <c r="D470" s="2"/>
    </row>
    <row r="471" spans="1:4" ht="15.7" customHeight="1" x14ac:dyDescent="0.3">
      <c r="A471" s="2"/>
      <c r="B471" s="2"/>
      <c r="C471" s="2"/>
      <c r="D471" s="2"/>
    </row>
    <row r="472" spans="1:4" ht="15.7" customHeight="1" x14ac:dyDescent="0.3">
      <c r="A472" s="2"/>
      <c r="B472" s="2"/>
      <c r="C472" s="2"/>
      <c r="D472" s="2"/>
    </row>
    <row r="473" spans="1:4" ht="15.7" customHeight="1" x14ac:dyDescent="0.3">
      <c r="A473" s="2"/>
      <c r="B473" s="2"/>
      <c r="C473" s="2"/>
      <c r="D473" s="2"/>
    </row>
    <row r="474" spans="1:4" ht="15.7" customHeight="1" x14ac:dyDescent="0.3">
      <c r="A474" s="2"/>
      <c r="B474" s="2"/>
      <c r="C474" s="2"/>
      <c r="D474" s="2"/>
    </row>
    <row r="475" spans="1:4" ht="15.7" customHeight="1" x14ac:dyDescent="0.3">
      <c r="A475" s="2"/>
      <c r="B475" s="2"/>
      <c r="C475" s="2"/>
      <c r="D475" s="2"/>
    </row>
    <row r="476" spans="1:4" ht="15.7" customHeight="1" x14ac:dyDescent="0.3">
      <c r="A476" s="2"/>
      <c r="B476" s="2"/>
      <c r="C476" s="2"/>
      <c r="D476" s="2"/>
    </row>
    <row r="477" spans="1:4" ht="15.7" customHeight="1" x14ac:dyDescent="0.3">
      <c r="A477" s="2"/>
      <c r="B477" s="2"/>
      <c r="C477" s="2"/>
      <c r="D477" s="2"/>
    </row>
    <row r="478" spans="1:4" ht="15.7" customHeight="1" x14ac:dyDescent="0.3">
      <c r="A478" s="2"/>
      <c r="B478" s="2"/>
      <c r="C478" s="2"/>
      <c r="D478" s="2"/>
    </row>
    <row r="479" spans="1:4" ht="15.7" customHeight="1" x14ac:dyDescent="0.3">
      <c r="A479" s="2"/>
      <c r="B479" s="2"/>
      <c r="C479" s="2"/>
      <c r="D479" s="2"/>
    </row>
    <row r="480" spans="1:4" ht="15.7" customHeight="1" x14ac:dyDescent="0.3">
      <c r="A480" s="2"/>
      <c r="B480" s="2"/>
      <c r="C480" s="2"/>
      <c r="D480" s="2"/>
    </row>
    <row r="481" spans="1:4" ht="15.7" customHeight="1" x14ac:dyDescent="0.3">
      <c r="A481" s="2"/>
      <c r="B481" s="2"/>
      <c r="C481" s="2"/>
      <c r="D481" s="2"/>
    </row>
    <row r="482" spans="1:4" ht="15.7" customHeight="1" x14ac:dyDescent="0.3">
      <c r="A482" s="2"/>
      <c r="B482" s="2"/>
      <c r="C482" s="2"/>
      <c r="D482" s="2"/>
    </row>
    <row r="483" spans="1:4" ht="15.7" customHeight="1" x14ac:dyDescent="0.3">
      <c r="A483" s="2"/>
      <c r="B483" s="2"/>
      <c r="C483" s="2"/>
      <c r="D483" s="2"/>
    </row>
    <row r="484" spans="1:4" ht="15.7" customHeight="1" x14ac:dyDescent="0.3">
      <c r="A484" s="2"/>
      <c r="B484" s="2"/>
      <c r="C484" s="2"/>
      <c r="D484" s="2"/>
    </row>
    <row r="485" spans="1:4" ht="15.7" customHeight="1" x14ac:dyDescent="0.3">
      <c r="A485" s="2"/>
      <c r="B485" s="2"/>
      <c r="C485" s="2"/>
      <c r="D485" s="2"/>
    </row>
    <row r="486" spans="1:4" ht="15.7" customHeight="1" x14ac:dyDescent="0.3">
      <c r="A486" s="2"/>
      <c r="B486" s="2"/>
      <c r="C486" s="2"/>
      <c r="D486" s="2"/>
    </row>
    <row r="487" spans="1:4" ht="15.7" customHeight="1" x14ac:dyDescent="0.3">
      <c r="A487" s="2"/>
      <c r="B487" s="2"/>
      <c r="C487" s="2"/>
      <c r="D487" s="2"/>
    </row>
    <row r="488" spans="1:4" ht="15.7" customHeight="1" x14ac:dyDescent="0.3">
      <c r="A488" s="2"/>
      <c r="B488" s="2"/>
      <c r="C488" s="2"/>
      <c r="D488" s="2"/>
    </row>
    <row r="489" spans="1:4" ht="15.7" customHeight="1" x14ac:dyDescent="0.3">
      <c r="A489" s="2"/>
      <c r="B489" s="2"/>
      <c r="C489" s="2"/>
      <c r="D489" s="2"/>
    </row>
    <row r="490" spans="1:4" ht="15.7" customHeight="1" x14ac:dyDescent="0.3">
      <c r="A490" s="2"/>
      <c r="B490" s="2"/>
      <c r="C490" s="2"/>
      <c r="D490" s="2"/>
    </row>
    <row r="491" spans="1:4" ht="15.7" customHeight="1" x14ac:dyDescent="0.3">
      <c r="A491" s="2"/>
      <c r="B491" s="2"/>
      <c r="C491" s="2"/>
      <c r="D491" s="2"/>
    </row>
    <row r="492" spans="1:4" ht="15.7" customHeight="1" x14ac:dyDescent="0.3">
      <c r="A492" s="2"/>
      <c r="B492" s="2"/>
      <c r="C492" s="2"/>
      <c r="D492" s="2"/>
    </row>
    <row r="493" spans="1:4" ht="15.7" customHeight="1" x14ac:dyDescent="0.3">
      <c r="A493" s="2"/>
      <c r="B493" s="2"/>
      <c r="C493" s="2"/>
      <c r="D493" s="2"/>
    </row>
    <row r="494" spans="1:4" ht="15.7" customHeight="1" x14ac:dyDescent="0.3">
      <c r="A494" s="2"/>
      <c r="B494" s="2"/>
      <c r="C494" s="2"/>
      <c r="D494" s="2"/>
    </row>
    <row r="495" spans="1:4" ht="15.7" customHeight="1" x14ac:dyDescent="0.3">
      <c r="A495" s="2"/>
      <c r="B495" s="2"/>
      <c r="C495" s="2"/>
      <c r="D495" s="2"/>
    </row>
    <row r="496" spans="1:4" ht="15.7" customHeight="1" x14ac:dyDescent="0.3">
      <c r="A496" s="2"/>
      <c r="B496" s="2"/>
      <c r="C496" s="2"/>
      <c r="D496" s="2"/>
    </row>
    <row r="497" spans="1:4" ht="15.7" customHeight="1" x14ac:dyDescent="0.3">
      <c r="A497" s="2"/>
      <c r="B497" s="2"/>
      <c r="C497" s="2"/>
      <c r="D497" s="2"/>
    </row>
    <row r="498" spans="1:4" ht="15.7" customHeight="1" x14ac:dyDescent="0.3">
      <c r="A498" s="2"/>
      <c r="B498" s="2"/>
      <c r="C498" s="2"/>
      <c r="D498" s="2"/>
    </row>
    <row r="499" spans="1:4" ht="15.7" customHeight="1" x14ac:dyDescent="0.3">
      <c r="A499" s="2"/>
      <c r="B499" s="2"/>
      <c r="C499" s="2"/>
      <c r="D499" s="2"/>
    </row>
    <row r="500" spans="1:4" ht="15.7" customHeight="1" x14ac:dyDescent="0.3">
      <c r="A500" s="2"/>
      <c r="B500" s="2"/>
      <c r="C500" s="2"/>
      <c r="D500" s="2"/>
    </row>
    <row r="501" spans="1:4" ht="15.7" customHeight="1" x14ac:dyDescent="0.3">
      <c r="A501" s="2"/>
      <c r="B501" s="2"/>
      <c r="C501" s="2"/>
      <c r="D501" s="2"/>
    </row>
    <row r="502" spans="1:4" ht="15.7" customHeight="1" x14ac:dyDescent="0.3">
      <c r="A502" s="2"/>
      <c r="B502" s="2"/>
      <c r="C502" s="2"/>
      <c r="D502" s="2"/>
    </row>
    <row r="503" spans="1:4" ht="15.7" customHeight="1" x14ac:dyDescent="0.3">
      <c r="A503" s="2"/>
      <c r="B503" s="2"/>
      <c r="C503" s="2"/>
      <c r="D503" s="2"/>
    </row>
    <row r="504" spans="1:4" ht="15.7" customHeight="1" x14ac:dyDescent="0.3">
      <c r="A504" s="2"/>
      <c r="B504" s="2"/>
      <c r="C504" s="2"/>
      <c r="D504" s="2"/>
    </row>
    <row r="505" spans="1:4" ht="15.7" customHeight="1" x14ac:dyDescent="0.3">
      <c r="A505" s="2"/>
      <c r="B505" s="2"/>
      <c r="C505" s="2"/>
      <c r="D505" s="2"/>
    </row>
    <row r="506" spans="1:4" ht="15.7" customHeight="1" x14ac:dyDescent="0.3">
      <c r="A506" s="2"/>
      <c r="B506" s="2"/>
      <c r="C506" s="2"/>
      <c r="D506" s="2"/>
    </row>
    <row r="507" spans="1:4" ht="15.7" customHeight="1" x14ac:dyDescent="0.3">
      <c r="A507" s="2"/>
      <c r="B507" s="2"/>
      <c r="C507" s="2"/>
      <c r="D507" s="2"/>
    </row>
    <row r="508" spans="1:4" ht="15.7" customHeight="1" x14ac:dyDescent="0.3">
      <c r="A508" s="2"/>
      <c r="B508" s="2"/>
      <c r="C508" s="2"/>
      <c r="D508" s="2"/>
    </row>
    <row r="509" spans="1:4" ht="15.7" customHeight="1" x14ac:dyDescent="0.3">
      <c r="A509" s="2"/>
      <c r="B509" s="2"/>
      <c r="C509" s="2"/>
      <c r="D509" s="2"/>
    </row>
    <row r="510" spans="1:4" ht="15.7" customHeight="1" x14ac:dyDescent="0.3">
      <c r="A510" s="2"/>
      <c r="B510" s="2"/>
      <c r="C510" s="2"/>
      <c r="D510" s="2"/>
    </row>
    <row r="511" spans="1:4" ht="15.7" customHeight="1" x14ac:dyDescent="0.3">
      <c r="A511" s="2"/>
      <c r="B511" s="2"/>
      <c r="C511" s="2"/>
      <c r="D511" s="2"/>
    </row>
    <row r="512" spans="1:4" ht="15.7" customHeight="1" x14ac:dyDescent="0.3">
      <c r="A512" s="2"/>
      <c r="B512" s="2"/>
      <c r="C512" s="2"/>
      <c r="D512" s="2"/>
    </row>
    <row r="513" spans="1:4" ht="15.7" customHeight="1" x14ac:dyDescent="0.3">
      <c r="A513" s="2"/>
      <c r="B513" s="2"/>
      <c r="C513" s="2"/>
      <c r="D513" s="2"/>
    </row>
    <row r="514" spans="1:4" ht="15.7" customHeight="1" x14ac:dyDescent="0.3">
      <c r="A514" s="2"/>
      <c r="B514" s="2"/>
      <c r="C514" s="2"/>
      <c r="D514" s="2"/>
    </row>
    <row r="515" spans="1:4" ht="15.7" customHeight="1" x14ac:dyDescent="0.3">
      <c r="A515" s="2"/>
      <c r="B515" s="2"/>
      <c r="C515" s="2"/>
      <c r="D515" s="2"/>
    </row>
    <row r="516" spans="1:4" ht="15.7" customHeight="1" x14ac:dyDescent="0.3">
      <c r="A516" s="2"/>
      <c r="B516" s="2"/>
      <c r="C516" s="2"/>
      <c r="D516" s="2"/>
    </row>
    <row r="517" spans="1:4" ht="15.7" customHeight="1" x14ac:dyDescent="0.3">
      <c r="A517" s="2"/>
      <c r="B517" s="2"/>
      <c r="C517" s="2"/>
      <c r="D517" s="2"/>
    </row>
    <row r="518" spans="1:4" ht="15.7" customHeight="1" x14ac:dyDescent="0.3">
      <c r="A518" s="2"/>
      <c r="B518" s="2"/>
      <c r="C518" s="2"/>
      <c r="D518" s="2"/>
    </row>
    <row r="519" spans="1:4" ht="15.7" customHeight="1" x14ac:dyDescent="0.3">
      <c r="A519" s="2"/>
      <c r="B519" s="2"/>
      <c r="C519" s="2"/>
      <c r="D519" s="2"/>
    </row>
    <row r="520" spans="1:4" ht="15.7" customHeight="1" x14ac:dyDescent="0.3">
      <c r="A520" s="2"/>
      <c r="B520" s="2"/>
      <c r="C520" s="2"/>
      <c r="D520" s="2"/>
    </row>
    <row r="521" spans="1:4" ht="15.7" customHeight="1" x14ac:dyDescent="0.3">
      <c r="A521" s="2"/>
      <c r="B521" s="2"/>
      <c r="C521" s="2"/>
      <c r="D521" s="2"/>
    </row>
    <row r="522" spans="1:4" ht="15.7" customHeight="1" x14ac:dyDescent="0.3">
      <c r="A522" s="2"/>
      <c r="B522" s="2"/>
      <c r="C522" s="2"/>
      <c r="D522" s="2"/>
    </row>
    <row r="523" spans="1:4" ht="15.7" customHeight="1" x14ac:dyDescent="0.3">
      <c r="A523" s="2"/>
      <c r="B523" s="2"/>
      <c r="C523" s="2"/>
      <c r="D523" s="2"/>
    </row>
    <row r="524" spans="1:4" ht="15.7" customHeight="1" x14ac:dyDescent="0.3">
      <c r="A524" s="2"/>
      <c r="B524" s="2"/>
      <c r="C524" s="2"/>
      <c r="D524" s="2"/>
    </row>
    <row r="525" spans="1:4" ht="15.7" customHeight="1" x14ac:dyDescent="0.3">
      <c r="A525" s="2"/>
      <c r="B525" s="2"/>
      <c r="C525" s="2"/>
      <c r="D525" s="2"/>
    </row>
    <row r="526" spans="1:4" ht="15.7" customHeight="1" x14ac:dyDescent="0.3">
      <c r="A526" s="2"/>
      <c r="B526" s="2"/>
      <c r="C526" s="2"/>
      <c r="D526" s="2"/>
    </row>
    <row r="527" spans="1:4" ht="15.7" customHeight="1" x14ac:dyDescent="0.3">
      <c r="A527" s="2"/>
      <c r="B527" s="2"/>
      <c r="C527" s="2"/>
      <c r="D527" s="2"/>
    </row>
    <row r="528" spans="1:4" ht="15.7" customHeight="1" x14ac:dyDescent="0.3">
      <c r="A528" s="2"/>
      <c r="B528" s="2"/>
      <c r="C528" s="2"/>
      <c r="D528" s="2"/>
    </row>
    <row r="529" spans="1:4" ht="15.7" customHeight="1" x14ac:dyDescent="0.3">
      <c r="A529" s="2"/>
      <c r="B529" s="2"/>
      <c r="C529" s="2"/>
      <c r="D529" s="2"/>
    </row>
    <row r="530" spans="1:4" ht="15.7" customHeight="1" x14ac:dyDescent="0.3">
      <c r="A530" s="2"/>
      <c r="B530" s="2"/>
      <c r="C530" s="2"/>
      <c r="D530" s="2"/>
    </row>
    <row r="531" spans="1:4" ht="15.7" customHeight="1" x14ac:dyDescent="0.3">
      <c r="A531" s="2"/>
      <c r="B531" s="2"/>
      <c r="C531" s="2"/>
      <c r="D531" s="2"/>
    </row>
    <row r="532" spans="1:4" ht="15.7" customHeight="1" x14ac:dyDescent="0.3">
      <c r="A532" s="2"/>
      <c r="B532" s="2"/>
      <c r="C532" s="2"/>
      <c r="D532" s="2"/>
    </row>
    <row r="533" spans="1:4" ht="15.7" customHeight="1" x14ac:dyDescent="0.3">
      <c r="A533" s="2"/>
      <c r="B533" s="2"/>
      <c r="C533" s="2"/>
      <c r="D533" s="2"/>
    </row>
    <row r="534" spans="1:4" ht="15.7" customHeight="1" x14ac:dyDescent="0.3">
      <c r="A534" s="2"/>
      <c r="B534" s="2"/>
      <c r="C534" s="2"/>
      <c r="D534" s="2"/>
    </row>
    <row r="535" spans="1:4" ht="15.7" customHeight="1" x14ac:dyDescent="0.3">
      <c r="A535" s="2"/>
      <c r="B535" s="2"/>
      <c r="C535" s="2"/>
      <c r="D535" s="2"/>
    </row>
    <row r="536" spans="1:4" ht="15.7" customHeight="1" x14ac:dyDescent="0.3">
      <c r="A536" s="2"/>
      <c r="B536" s="2"/>
      <c r="C536" s="2"/>
      <c r="D536" s="2"/>
    </row>
    <row r="537" spans="1:4" ht="15.7" customHeight="1" x14ac:dyDescent="0.3">
      <c r="A537" s="2"/>
      <c r="B537" s="2"/>
      <c r="C537" s="2"/>
      <c r="D537" s="2"/>
    </row>
    <row r="538" spans="1:4" ht="15.7" customHeight="1" x14ac:dyDescent="0.3">
      <c r="A538" s="2"/>
      <c r="B538" s="2"/>
      <c r="C538" s="2"/>
      <c r="D538" s="2"/>
    </row>
    <row r="539" spans="1:4" ht="15.7" customHeight="1" x14ac:dyDescent="0.3">
      <c r="A539" s="2"/>
      <c r="B539" s="2"/>
      <c r="C539" s="2"/>
      <c r="D539" s="2"/>
    </row>
    <row r="540" spans="1:4" ht="15.7" customHeight="1" x14ac:dyDescent="0.3">
      <c r="A540" s="2"/>
      <c r="B540" s="2"/>
      <c r="C540" s="2"/>
      <c r="D540" s="2"/>
    </row>
    <row r="541" spans="1:4" ht="15.7" customHeight="1" x14ac:dyDescent="0.3">
      <c r="A541" s="2"/>
      <c r="B541" s="2"/>
      <c r="C541" s="2"/>
      <c r="D541" s="2"/>
    </row>
    <row r="542" spans="1:4" ht="15.7" customHeight="1" x14ac:dyDescent="0.3">
      <c r="A542" s="2"/>
      <c r="B542" s="2"/>
      <c r="C542" s="2"/>
      <c r="D542" s="2"/>
    </row>
    <row r="543" spans="1:4" ht="15.7" customHeight="1" x14ac:dyDescent="0.3">
      <c r="A543" s="2"/>
      <c r="B543" s="2"/>
      <c r="C543" s="2"/>
      <c r="D543" s="2"/>
    </row>
    <row r="544" spans="1:4" ht="15.7" customHeight="1" x14ac:dyDescent="0.3">
      <c r="A544" s="2"/>
      <c r="B544" s="2"/>
      <c r="C544" s="2"/>
      <c r="D544" s="2"/>
    </row>
    <row r="545" spans="1:4" ht="15.7" customHeight="1" x14ac:dyDescent="0.3">
      <c r="A545" s="2"/>
      <c r="B545" s="2"/>
      <c r="C545" s="2"/>
      <c r="D545" s="2"/>
    </row>
    <row r="546" spans="1:4" ht="15.7" customHeight="1" x14ac:dyDescent="0.3">
      <c r="A546" s="2"/>
      <c r="B546" s="2"/>
      <c r="C546" s="2"/>
      <c r="D546" s="2"/>
    </row>
    <row r="547" spans="1:4" ht="15.7" customHeight="1" x14ac:dyDescent="0.3">
      <c r="A547" s="2"/>
      <c r="B547" s="2"/>
      <c r="C547" s="2"/>
      <c r="D547" s="2"/>
    </row>
    <row r="548" spans="1:4" ht="15.7" customHeight="1" x14ac:dyDescent="0.3">
      <c r="A548" s="2"/>
      <c r="B548" s="2"/>
      <c r="C548" s="2"/>
      <c r="D548" s="2"/>
    </row>
    <row r="549" spans="1:4" ht="15.7" customHeight="1" x14ac:dyDescent="0.3">
      <c r="A549" s="2"/>
      <c r="B549" s="2"/>
      <c r="C549" s="2"/>
      <c r="D549" s="2"/>
    </row>
    <row r="550" spans="1:4" ht="15.7" customHeight="1" x14ac:dyDescent="0.3">
      <c r="A550" s="2"/>
      <c r="B550" s="2"/>
      <c r="C550" s="2"/>
      <c r="D550" s="2"/>
    </row>
    <row r="551" spans="1:4" ht="15.7" customHeight="1" x14ac:dyDescent="0.3">
      <c r="A551" s="2"/>
      <c r="B551" s="2"/>
      <c r="C551" s="2"/>
      <c r="D551" s="2"/>
    </row>
    <row r="552" spans="1:4" ht="15.7" customHeight="1" x14ac:dyDescent="0.3">
      <c r="A552" s="2"/>
      <c r="B552" s="2"/>
      <c r="C552" s="2"/>
      <c r="D552" s="2"/>
    </row>
    <row r="553" spans="1:4" ht="15.7" customHeight="1" x14ac:dyDescent="0.3">
      <c r="A553" s="2"/>
      <c r="B553" s="2"/>
      <c r="C553" s="2"/>
      <c r="D553" s="2"/>
    </row>
    <row r="554" spans="1:4" ht="15.7" customHeight="1" x14ac:dyDescent="0.3">
      <c r="A554" s="2"/>
      <c r="B554" s="2"/>
      <c r="C554" s="2"/>
      <c r="D554" s="2"/>
    </row>
    <row r="555" spans="1:4" ht="15.7" customHeight="1" x14ac:dyDescent="0.3">
      <c r="A555" s="2"/>
      <c r="B555" s="2"/>
      <c r="C555" s="2"/>
      <c r="D555" s="2"/>
    </row>
    <row r="556" spans="1:4" ht="15.7" customHeight="1" x14ac:dyDescent="0.3">
      <c r="A556" s="2"/>
      <c r="B556" s="2"/>
      <c r="C556" s="2"/>
      <c r="D556" s="2"/>
    </row>
    <row r="557" spans="1:4" ht="15.7" customHeight="1" x14ac:dyDescent="0.3">
      <c r="A557" s="2"/>
      <c r="B557" s="2"/>
      <c r="C557" s="2"/>
      <c r="D557" s="2"/>
    </row>
    <row r="558" spans="1:4" ht="15.7" customHeight="1" x14ac:dyDescent="0.3">
      <c r="A558" s="2"/>
      <c r="B558" s="2"/>
      <c r="C558" s="2"/>
      <c r="D558" s="2"/>
    </row>
    <row r="559" spans="1:4" ht="15.7" customHeight="1" x14ac:dyDescent="0.3">
      <c r="A559" s="2"/>
      <c r="B559" s="2"/>
      <c r="C559" s="2"/>
      <c r="D559" s="2"/>
    </row>
    <row r="560" spans="1:4" ht="15.7" customHeight="1" x14ac:dyDescent="0.3">
      <c r="A560" s="2"/>
      <c r="B560" s="2"/>
      <c r="C560" s="2"/>
      <c r="D560" s="2"/>
    </row>
    <row r="561" spans="1:4" ht="15.7" customHeight="1" x14ac:dyDescent="0.3">
      <c r="A561" s="2"/>
      <c r="B561" s="2"/>
      <c r="C561" s="2"/>
      <c r="D561" s="2"/>
    </row>
    <row r="562" spans="1:4" ht="15.7" customHeight="1" x14ac:dyDescent="0.3">
      <c r="A562" s="2"/>
      <c r="B562" s="2"/>
      <c r="C562" s="2"/>
      <c r="D562" s="2"/>
    </row>
    <row r="563" spans="1:4" ht="15.7" customHeight="1" x14ac:dyDescent="0.3">
      <c r="A563" s="2"/>
      <c r="B563" s="2"/>
      <c r="C563" s="2"/>
      <c r="D563" s="2"/>
    </row>
    <row r="564" spans="1:4" ht="15.7" customHeight="1" x14ac:dyDescent="0.3">
      <c r="A564" s="2"/>
      <c r="B564" s="2"/>
      <c r="C564" s="2"/>
      <c r="D564" s="2"/>
    </row>
    <row r="565" spans="1:4" ht="15.7" customHeight="1" x14ac:dyDescent="0.3">
      <c r="A565" s="2"/>
      <c r="B565" s="2"/>
      <c r="C565" s="2"/>
      <c r="D565" s="2"/>
    </row>
    <row r="566" spans="1:4" ht="15.7" customHeight="1" x14ac:dyDescent="0.3">
      <c r="A566" s="2"/>
      <c r="B566" s="2"/>
      <c r="C566" s="2"/>
      <c r="D566" s="2"/>
    </row>
    <row r="567" spans="1:4" ht="15.7" customHeight="1" x14ac:dyDescent="0.3">
      <c r="A567" s="2"/>
      <c r="B567" s="2"/>
      <c r="C567" s="2"/>
      <c r="D567" s="2"/>
    </row>
    <row r="568" spans="1:4" ht="15.7" customHeight="1" x14ac:dyDescent="0.3">
      <c r="A568" s="2"/>
      <c r="B568" s="2"/>
      <c r="C568" s="2"/>
      <c r="D568" s="2"/>
    </row>
    <row r="569" spans="1:4" ht="15.7" customHeight="1" x14ac:dyDescent="0.3">
      <c r="A569" s="2"/>
      <c r="B569" s="2"/>
      <c r="C569" s="2"/>
      <c r="D569" s="2"/>
    </row>
    <row r="570" spans="1:4" ht="15.7" customHeight="1" x14ac:dyDescent="0.3">
      <c r="A570" s="2"/>
      <c r="B570" s="2"/>
      <c r="C570" s="2"/>
      <c r="D570" s="2"/>
    </row>
    <row r="571" spans="1:4" ht="15.7" customHeight="1" x14ac:dyDescent="0.3">
      <c r="A571" s="2"/>
      <c r="B571" s="2"/>
      <c r="C571" s="2"/>
      <c r="D571" s="2"/>
    </row>
    <row r="572" spans="1:4" ht="15.7" customHeight="1" x14ac:dyDescent="0.3">
      <c r="A572" s="2"/>
      <c r="B572" s="2"/>
      <c r="C572" s="2"/>
      <c r="D572" s="2"/>
    </row>
    <row r="573" spans="1:4" ht="15.7" customHeight="1" x14ac:dyDescent="0.3">
      <c r="A573" s="2"/>
      <c r="B573" s="2"/>
      <c r="C573" s="2"/>
      <c r="D573" s="2"/>
    </row>
    <row r="574" spans="1:4" ht="15.7" customHeight="1" x14ac:dyDescent="0.3">
      <c r="A574" s="2"/>
      <c r="B574" s="2"/>
      <c r="C574" s="2"/>
      <c r="D574" s="2"/>
    </row>
    <row r="575" spans="1:4" ht="15.7" customHeight="1" x14ac:dyDescent="0.3">
      <c r="A575" s="2"/>
      <c r="B575" s="2"/>
      <c r="C575" s="2"/>
      <c r="D575" s="2"/>
    </row>
    <row r="576" spans="1:4" ht="15.7" customHeight="1" x14ac:dyDescent="0.3">
      <c r="A576" s="2"/>
      <c r="B576" s="2"/>
      <c r="C576" s="2"/>
      <c r="D576" s="2"/>
    </row>
    <row r="577" spans="1:4" ht="15.7" customHeight="1" x14ac:dyDescent="0.3">
      <c r="A577" s="2"/>
      <c r="B577" s="2"/>
      <c r="C577" s="2"/>
      <c r="D577" s="2"/>
    </row>
    <row r="578" spans="1:4" ht="15.7" customHeight="1" x14ac:dyDescent="0.3">
      <c r="A578" s="2"/>
      <c r="B578" s="2"/>
      <c r="C578" s="2"/>
      <c r="D578" s="2"/>
    </row>
    <row r="579" spans="1:4" ht="15.7" customHeight="1" x14ac:dyDescent="0.3">
      <c r="A579" s="2"/>
      <c r="B579" s="2"/>
      <c r="C579" s="2"/>
      <c r="D579" s="2"/>
    </row>
    <row r="580" spans="1:4" ht="15.7" customHeight="1" x14ac:dyDescent="0.3">
      <c r="A580" s="2"/>
      <c r="B580" s="2"/>
      <c r="C580" s="2"/>
      <c r="D580" s="2"/>
    </row>
    <row r="581" spans="1:4" ht="15.7" customHeight="1" x14ac:dyDescent="0.3">
      <c r="A581" s="2"/>
      <c r="B581" s="2"/>
      <c r="C581" s="2"/>
      <c r="D581" s="2"/>
    </row>
    <row r="582" spans="1:4" ht="15.7" customHeight="1" x14ac:dyDescent="0.3">
      <c r="A582" s="2"/>
      <c r="B582" s="2"/>
      <c r="C582" s="2"/>
      <c r="D582" s="2"/>
    </row>
    <row r="583" spans="1:4" ht="15.7" customHeight="1" x14ac:dyDescent="0.3">
      <c r="A583" s="2"/>
      <c r="B583" s="2"/>
      <c r="C583" s="2"/>
      <c r="D583" s="2"/>
    </row>
    <row r="584" spans="1:4" ht="15.7" customHeight="1" x14ac:dyDescent="0.3">
      <c r="A584" s="2"/>
      <c r="B584" s="2"/>
      <c r="C584" s="2"/>
      <c r="D584" s="2"/>
    </row>
    <row r="585" spans="1:4" ht="15.7" customHeight="1" x14ac:dyDescent="0.3">
      <c r="A585" s="2"/>
      <c r="B585" s="2"/>
      <c r="C585" s="2"/>
      <c r="D585" s="2"/>
    </row>
    <row r="586" spans="1:4" ht="15.7" customHeight="1" x14ac:dyDescent="0.3">
      <c r="A586" s="2"/>
      <c r="B586" s="2"/>
      <c r="C586" s="2"/>
      <c r="D586" s="2"/>
    </row>
    <row r="587" spans="1:4" ht="15.7" customHeight="1" x14ac:dyDescent="0.3">
      <c r="A587" s="2"/>
      <c r="B587" s="2"/>
      <c r="C587" s="2"/>
      <c r="D587" s="2"/>
    </row>
    <row r="588" spans="1:4" ht="15.7" customHeight="1" x14ac:dyDescent="0.3">
      <c r="A588" s="2"/>
      <c r="B588" s="2"/>
      <c r="C588" s="2"/>
      <c r="D588" s="2"/>
    </row>
    <row r="589" spans="1:4" ht="15.7" customHeight="1" x14ac:dyDescent="0.3">
      <c r="A589" s="2"/>
      <c r="B589" s="2"/>
      <c r="C589" s="2"/>
      <c r="D589" s="2"/>
    </row>
    <row r="590" spans="1:4" ht="15.7" customHeight="1" x14ac:dyDescent="0.3">
      <c r="A590" s="2"/>
      <c r="B590" s="2"/>
      <c r="C590" s="2"/>
      <c r="D590" s="2"/>
    </row>
    <row r="591" spans="1:4" ht="15.7" customHeight="1" x14ac:dyDescent="0.3">
      <c r="A591" s="2"/>
      <c r="B591" s="2"/>
      <c r="C591" s="2"/>
      <c r="D591" s="2"/>
    </row>
    <row r="592" spans="1:4" ht="15.7" customHeight="1" x14ac:dyDescent="0.3">
      <c r="A592" s="2"/>
      <c r="B592" s="2"/>
      <c r="C592" s="2"/>
      <c r="D592" s="2"/>
    </row>
    <row r="593" spans="1:4" ht="15.7" customHeight="1" x14ac:dyDescent="0.3">
      <c r="A593" s="2"/>
      <c r="B593" s="2"/>
      <c r="C593" s="2"/>
      <c r="D593" s="2"/>
    </row>
    <row r="594" spans="1:4" ht="15.7" customHeight="1" x14ac:dyDescent="0.3">
      <c r="A594" s="2"/>
      <c r="B594" s="2"/>
      <c r="C594" s="2"/>
      <c r="D594" s="2"/>
    </row>
    <row r="595" spans="1:4" ht="15.7" customHeight="1" x14ac:dyDescent="0.3">
      <c r="A595" s="2"/>
      <c r="B595" s="2"/>
      <c r="C595" s="2"/>
      <c r="D595" s="2"/>
    </row>
    <row r="596" spans="1:4" ht="15.7" customHeight="1" x14ac:dyDescent="0.3">
      <c r="A596" s="2"/>
      <c r="B596" s="2"/>
      <c r="C596" s="2"/>
      <c r="D596" s="2"/>
    </row>
    <row r="597" spans="1:4" ht="15.7" customHeight="1" x14ac:dyDescent="0.3">
      <c r="A597" s="2"/>
      <c r="B597" s="2"/>
      <c r="C597" s="2"/>
      <c r="D597" s="2"/>
    </row>
    <row r="598" spans="1:4" ht="15.7" customHeight="1" x14ac:dyDescent="0.3">
      <c r="A598" s="2"/>
      <c r="B598" s="2"/>
      <c r="C598" s="2"/>
      <c r="D598" s="2"/>
    </row>
    <row r="599" spans="1:4" ht="15.7" customHeight="1" x14ac:dyDescent="0.3">
      <c r="A599" s="2"/>
      <c r="B599" s="2"/>
      <c r="C599" s="2"/>
      <c r="D599" s="2"/>
    </row>
    <row r="600" spans="1:4" ht="15.7" customHeight="1" x14ac:dyDescent="0.3">
      <c r="A600" s="2"/>
      <c r="B600" s="2"/>
      <c r="C600" s="2"/>
      <c r="D600" s="2"/>
    </row>
    <row r="601" spans="1:4" ht="15.7" customHeight="1" x14ac:dyDescent="0.3">
      <c r="A601" s="2"/>
      <c r="B601" s="2"/>
      <c r="C601" s="2"/>
      <c r="D601" s="2"/>
    </row>
    <row r="602" spans="1:4" ht="15.7" customHeight="1" x14ac:dyDescent="0.3">
      <c r="A602" s="2"/>
      <c r="B602" s="2"/>
      <c r="C602" s="2"/>
      <c r="D602" s="2"/>
    </row>
    <row r="603" spans="1:4" ht="15.7" customHeight="1" x14ac:dyDescent="0.3">
      <c r="A603" s="2"/>
      <c r="B603" s="2"/>
      <c r="C603" s="2"/>
      <c r="D603" s="2"/>
    </row>
    <row r="604" spans="1:4" ht="15.7" customHeight="1" x14ac:dyDescent="0.3">
      <c r="A604" s="2"/>
      <c r="B604" s="2"/>
      <c r="C604" s="2"/>
      <c r="D604" s="2"/>
    </row>
    <row r="605" spans="1:4" ht="15.7" customHeight="1" x14ac:dyDescent="0.3">
      <c r="A605" s="2"/>
      <c r="B605" s="2"/>
      <c r="C605" s="2"/>
      <c r="D605" s="2"/>
    </row>
    <row r="606" spans="1:4" ht="15.7" customHeight="1" x14ac:dyDescent="0.3">
      <c r="A606" s="2"/>
      <c r="B606" s="2"/>
      <c r="C606" s="2"/>
      <c r="D606" s="2"/>
    </row>
    <row r="607" spans="1:4" ht="15.7" customHeight="1" x14ac:dyDescent="0.3">
      <c r="A607" s="2"/>
      <c r="B607" s="2"/>
      <c r="C607" s="2"/>
      <c r="D607" s="2"/>
    </row>
    <row r="608" spans="1:4" ht="15.7" customHeight="1" x14ac:dyDescent="0.3">
      <c r="A608" s="2"/>
      <c r="B608" s="2"/>
      <c r="C608" s="2"/>
      <c r="D608" s="2"/>
    </row>
    <row r="609" spans="1:4" ht="15.7" customHeight="1" x14ac:dyDescent="0.3">
      <c r="A609" s="2"/>
      <c r="B609" s="2"/>
      <c r="C609" s="2"/>
      <c r="D609" s="2"/>
    </row>
    <row r="610" spans="1:4" ht="15.7" customHeight="1" x14ac:dyDescent="0.3">
      <c r="A610" s="2"/>
      <c r="B610" s="2"/>
      <c r="C610" s="2"/>
      <c r="D610" s="2"/>
    </row>
    <row r="611" spans="1:4" ht="15.7" customHeight="1" x14ac:dyDescent="0.3">
      <c r="A611" s="2"/>
      <c r="B611" s="2"/>
      <c r="C611" s="2"/>
      <c r="D611" s="2"/>
    </row>
    <row r="612" spans="1:4" ht="15.7" customHeight="1" x14ac:dyDescent="0.3">
      <c r="A612" s="2"/>
      <c r="B612" s="2"/>
      <c r="C612" s="2"/>
      <c r="D612" s="2"/>
    </row>
    <row r="613" spans="1:4" ht="15.7" customHeight="1" x14ac:dyDescent="0.3">
      <c r="A613" s="2"/>
      <c r="B613" s="2"/>
      <c r="C613" s="2"/>
      <c r="D613" s="2"/>
    </row>
    <row r="614" spans="1:4" ht="15.7" customHeight="1" x14ac:dyDescent="0.3">
      <c r="A614" s="2"/>
      <c r="B614" s="2"/>
      <c r="C614" s="2"/>
      <c r="D614" s="2"/>
    </row>
    <row r="615" spans="1:4" ht="15.7" customHeight="1" x14ac:dyDescent="0.3">
      <c r="A615" s="2"/>
      <c r="B615" s="2"/>
      <c r="C615" s="2"/>
      <c r="D615" s="2"/>
    </row>
    <row r="616" spans="1:4" ht="15.7" customHeight="1" x14ac:dyDescent="0.3">
      <c r="A616" s="2"/>
      <c r="B616" s="2"/>
      <c r="C616" s="2"/>
      <c r="D616" s="2"/>
    </row>
    <row r="617" spans="1:4" ht="15.7" customHeight="1" x14ac:dyDescent="0.3">
      <c r="A617" s="2"/>
      <c r="B617" s="2"/>
      <c r="C617" s="2"/>
      <c r="D617" s="2"/>
    </row>
    <row r="618" spans="1:4" ht="15.7" customHeight="1" x14ac:dyDescent="0.3">
      <c r="A618" s="2"/>
      <c r="B618" s="2"/>
      <c r="C618" s="2"/>
      <c r="D618" s="2"/>
    </row>
    <row r="619" spans="1:4" ht="15.7" customHeight="1" x14ac:dyDescent="0.3">
      <c r="A619" s="2"/>
      <c r="B619" s="2"/>
      <c r="C619" s="2"/>
      <c r="D619" s="2"/>
    </row>
    <row r="620" spans="1:4" ht="15.7" customHeight="1" x14ac:dyDescent="0.3">
      <c r="A620" s="2"/>
      <c r="B620" s="2"/>
      <c r="C620" s="2"/>
      <c r="D620" s="2"/>
    </row>
    <row r="621" spans="1:4" ht="15.7" customHeight="1" x14ac:dyDescent="0.3">
      <c r="A621" s="2"/>
      <c r="B621" s="2"/>
      <c r="C621" s="2"/>
      <c r="D621" s="2"/>
    </row>
    <row r="622" spans="1:4" ht="15.7" customHeight="1" x14ac:dyDescent="0.3">
      <c r="A622" s="2"/>
      <c r="B622" s="2"/>
      <c r="C622" s="2"/>
      <c r="D622" s="2"/>
    </row>
    <row r="623" spans="1:4" ht="15.7" customHeight="1" x14ac:dyDescent="0.3">
      <c r="A623" s="2"/>
      <c r="B623" s="2"/>
      <c r="C623" s="2"/>
      <c r="D623" s="2"/>
    </row>
    <row r="624" spans="1:4" ht="15.7" customHeight="1" x14ac:dyDescent="0.3">
      <c r="A624" s="2"/>
      <c r="B624" s="2"/>
      <c r="C624" s="2"/>
      <c r="D624" s="2"/>
    </row>
    <row r="625" spans="1:4" ht="15.7" customHeight="1" x14ac:dyDescent="0.3">
      <c r="A625" s="2"/>
      <c r="B625" s="2"/>
      <c r="C625" s="2"/>
      <c r="D625" s="2"/>
    </row>
    <row r="626" spans="1:4" ht="15.7" customHeight="1" x14ac:dyDescent="0.3">
      <c r="A626" s="2"/>
      <c r="B626" s="2"/>
      <c r="C626" s="2"/>
      <c r="D626" s="2"/>
    </row>
    <row r="627" spans="1:4" ht="15.7" customHeight="1" x14ac:dyDescent="0.3">
      <c r="A627" s="2"/>
      <c r="B627" s="2"/>
      <c r="C627" s="2"/>
      <c r="D627" s="2"/>
    </row>
    <row r="628" spans="1:4" ht="15.7" customHeight="1" x14ac:dyDescent="0.3">
      <c r="A628" s="2"/>
      <c r="B628" s="2"/>
      <c r="C628" s="2"/>
      <c r="D628" s="2"/>
    </row>
    <row r="629" spans="1:4" ht="15.7" customHeight="1" x14ac:dyDescent="0.3">
      <c r="A629" s="2"/>
      <c r="B629" s="2"/>
      <c r="C629" s="2"/>
      <c r="D629" s="2"/>
    </row>
    <row r="630" spans="1:4" ht="15.7" customHeight="1" x14ac:dyDescent="0.3">
      <c r="A630" s="2"/>
      <c r="B630" s="2"/>
      <c r="C630" s="2"/>
      <c r="D630" s="2"/>
    </row>
    <row r="631" spans="1:4" ht="15.7" customHeight="1" x14ac:dyDescent="0.3">
      <c r="A631" s="2"/>
      <c r="B631" s="2"/>
      <c r="C631" s="2"/>
      <c r="D631" s="2"/>
    </row>
    <row r="632" spans="1:4" ht="15.7" customHeight="1" x14ac:dyDescent="0.3">
      <c r="A632" s="2"/>
      <c r="B632" s="2"/>
      <c r="C632" s="2"/>
      <c r="D632" s="2"/>
    </row>
    <row r="633" spans="1:4" ht="15.7" customHeight="1" x14ac:dyDescent="0.3">
      <c r="A633" s="2"/>
      <c r="B633" s="2"/>
      <c r="C633" s="2"/>
      <c r="D633" s="2"/>
    </row>
    <row r="634" spans="1:4" ht="15.7" customHeight="1" x14ac:dyDescent="0.3">
      <c r="A634" s="2"/>
      <c r="B634" s="2"/>
      <c r="C634" s="2"/>
      <c r="D634" s="2"/>
    </row>
    <row r="635" spans="1:4" ht="15.7" customHeight="1" x14ac:dyDescent="0.3">
      <c r="A635" s="2"/>
      <c r="B635" s="2"/>
      <c r="C635" s="2"/>
      <c r="D635" s="2"/>
    </row>
    <row r="636" spans="1:4" ht="15.7" customHeight="1" x14ac:dyDescent="0.3">
      <c r="A636" s="2"/>
      <c r="B636" s="2"/>
      <c r="C636" s="2"/>
      <c r="D636" s="2"/>
    </row>
    <row r="637" spans="1:4" ht="15.7" customHeight="1" x14ac:dyDescent="0.3">
      <c r="A637" s="2"/>
      <c r="B637" s="2"/>
      <c r="C637" s="2"/>
      <c r="D637" s="2"/>
    </row>
    <row r="638" spans="1:4" ht="15.7" customHeight="1" x14ac:dyDescent="0.3">
      <c r="A638" s="2"/>
      <c r="B638" s="2"/>
      <c r="C638" s="2"/>
      <c r="D638" s="2"/>
    </row>
    <row r="639" spans="1:4" ht="15.7" customHeight="1" x14ac:dyDescent="0.3">
      <c r="A639" s="2"/>
      <c r="B639" s="2"/>
      <c r="C639" s="2"/>
      <c r="D639" s="2"/>
    </row>
    <row r="640" spans="1:4" ht="15.7" customHeight="1" x14ac:dyDescent="0.3">
      <c r="A640" s="2"/>
      <c r="B640" s="2"/>
      <c r="C640" s="2"/>
      <c r="D640" s="2"/>
    </row>
    <row r="641" spans="1:4" ht="15.7" customHeight="1" x14ac:dyDescent="0.3">
      <c r="A641" s="2"/>
      <c r="B641" s="2"/>
      <c r="C641" s="2"/>
      <c r="D641" s="2"/>
    </row>
    <row r="642" spans="1:4" ht="15.7" customHeight="1" x14ac:dyDescent="0.3">
      <c r="A642" s="2"/>
      <c r="B642" s="2"/>
      <c r="C642" s="2"/>
      <c r="D642" s="2"/>
    </row>
    <row r="643" spans="1:4" ht="15.7" customHeight="1" x14ac:dyDescent="0.3">
      <c r="A643" s="2"/>
      <c r="B643" s="2"/>
      <c r="C643" s="2"/>
      <c r="D643" s="2"/>
    </row>
    <row r="644" spans="1:4" ht="15.7" customHeight="1" x14ac:dyDescent="0.3">
      <c r="A644" s="2"/>
      <c r="B644" s="2"/>
      <c r="C644" s="2"/>
      <c r="D644" s="2"/>
    </row>
    <row r="645" spans="1:4" ht="15.7" customHeight="1" x14ac:dyDescent="0.3">
      <c r="A645" s="2"/>
      <c r="B645" s="2"/>
      <c r="C645" s="2"/>
      <c r="D645" s="2"/>
    </row>
    <row r="646" spans="1:4" ht="15.7" customHeight="1" x14ac:dyDescent="0.3">
      <c r="A646" s="2"/>
      <c r="B646" s="2"/>
      <c r="C646" s="2"/>
      <c r="D646" s="2"/>
    </row>
    <row r="647" spans="1:4" ht="15.7" customHeight="1" x14ac:dyDescent="0.3">
      <c r="A647" s="2"/>
      <c r="B647" s="2"/>
      <c r="C647" s="2"/>
      <c r="D647" s="2"/>
    </row>
    <row r="648" spans="1:4" ht="15.7" customHeight="1" x14ac:dyDescent="0.3">
      <c r="A648" s="2"/>
      <c r="B648" s="2"/>
      <c r="C648" s="2"/>
      <c r="D648" s="2"/>
    </row>
    <row r="649" spans="1:4" ht="15.7" customHeight="1" x14ac:dyDescent="0.3">
      <c r="A649" s="2"/>
      <c r="B649" s="2"/>
      <c r="C649" s="2"/>
      <c r="D649" s="2"/>
    </row>
    <row r="650" spans="1:4" ht="15.7" customHeight="1" x14ac:dyDescent="0.3">
      <c r="A650" s="2"/>
      <c r="B650" s="2"/>
      <c r="C650" s="2"/>
      <c r="D650" s="2"/>
    </row>
    <row r="651" spans="1:4" ht="15.7" customHeight="1" x14ac:dyDescent="0.3">
      <c r="A651" s="2"/>
      <c r="B651" s="2"/>
      <c r="C651" s="2"/>
      <c r="D651" s="2"/>
    </row>
    <row r="652" spans="1:4" ht="15.7" customHeight="1" x14ac:dyDescent="0.3">
      <c r="A652" s="2"/>
      <c r="B652" s="2"/>
      <c r="C652" s="2"/>
      <c r="D652" s="2"/>
    </row>
    <row r="653" spans="1:4" ht="15.7" customHeight="1" x14ac:dyDescent="0.3">
      <c r="A653" s="2"/>
      <c r="B653" s="2"/>
      <c r="C653" s="2"/>
      <c r="D653" s="2"/>
    </row>
    <row r="654" spans="1:4" ht="15.7" customHeight="1" x14ac:dyDescent="0.3">
      <c r="A654" s="2"/>
      <c r="B654" s="2"/>
      <c r="C654" s="2"/>
      <c r="D654" s="2"/>
    </row>
    <row r="655" spans="1:4" ht="15.7" customHeight="1" x14ac:dyDescent="0.3">
      <c r="A655" s="2"/>
      <c r="B655" s="2"/>
      <c r="C655" s="2"/>
      <c r="D655" s="2"/>
    </row>
    <row r="656" spans="1:4" ht="15.7" customHeight="1" x14ac:dyDescent="0.3">
      <c r="A656" s="2"/>
      <c r="B656" s="2"/>
      <c r="C656" s="2"/>
      <c r="D656" s="2"/>
    </row>
    <row r="657" spans="1:4" ht="15.7" customHeight="1" x14ac:dyDescent="0.3">
      <c r="A657" s="2"/>
      <c r="B657" s="2"/>
      <c r="C657" s="2"/>
      <c r="D657" s="2"/>
    </row>
    <row r="658" spans="1:4" ht="15.7" customHeight="1" x14ac:dyDescent="0.3">
      <c r="A658" s="2"/>
      <c r="B658" s="2"/>
      <c r="C658" s="2"/>
      <c r="D658" s="2"/>
    </row>
    <row r="659" spans="1:4" ht="15.7" customHeight="1" x14ac:dyDescent="0.3">
      <c r="A659" s="2"/>
      <c r="B659" s="2"/>
      <c r="C659" s="2"/>
      <c r="D659" s="2"/>
    </row>
    <row r="660" spans="1:4" ht="15.7" customHeight="1" x14ac:dyDescent="0.3">
      <c r="A660" s="2"/>
      <c r="B660" s="2"/>
      <c r="C660" s="2"/>
      <c r="D660" s="2"/>
    </row>
    <row r="661" spans="1:4" ht="15.7" customHeight="1" x14ac:dyDescent="0.3">
      <c r="A661" s="2"/>
      <c r="B661" s="2"/>
      <c r="C661" s="2"/>
      <c r="D661" s="2"/>
    </row>
    <row r="662" spans="1:4" ht="15.7" customHeight="1" x14ac:dyDescent="0.3">
      <c r="A662" s="2"/>
      <c r="B662" s="2"/>
      <c r="C662" s="2"/>
      <c r="D662" s="2"/>
    </row>
    <row r="663" spans="1:4" ht="15.7" customHeight="1" x14ac:dyDescent="0.3">
      <c r="A663" s="2"/>
      <c r="B663" s="2"/>
      <c r="C663" s="2"/>
      <c r="D663" s="2"/>
    </row>
    <row r="664" spans="1:4" ht="15.7" customHeight="1" x14ac:dyDescent="0.3">
      <c r="A664" s="2"/>
      <c r="B664" s="2"/>
      <c r="C664" s="2"/>
      <c r="D664" s="2"/>
    </row>
    <row r="665" spans="1:4" ht="15.7" customHeight="1" x14ac:dyDescent="0.3">
      <c r="A665" s="2"/>
      <c r="B665" s="2"/>
      <c r="C665" s="2"/>
      <c r="D665" s="2"/>
    </row>
    <row r="666" spans="1:4" ht="15.7" customHeight="1" x14ac:dyDescent="0.3">
      <c r="A666" s="2"/>
      <c r="B666" s="2"/>
      <c r="C666" s="2"/>
      <c r="D666" s="2"/>
    </row>
    <row r="667" spans="1:4" ht="15.7" customHeight="1" x14ac:dyDescent="0.3">
      <c r="A667" s="2"/>
      <c r="B667" s="2"/>
      <c r="C667" s="2"/>
      <c r="D667" s="2"/>
    </row>
    <row r="668" spans="1:4" ht="15.7" customHeight="1" x14ac:dyDescent="0.3">
      <c r="A668" s="2"/>
      <c r="B668" s="2"/>
      <c r="C668" s="2"/>
      <c r="D668" s="2"/>
    </row>
    <row r="669" spans="1:4" ht="15.7" customHeight="1" x14ac:dyDescent="0.3">
      <c r="A669" s="2"/>
      <c r="B669" s="2"/>
      <c r="C669" s="2"/>
      <c r="D669" s="2"/>
    </row>
    <row r="670" spans="1:4" ht="15.7" customHeight="1" x14ac:dyDescent="0.3">
      <c r="A670" s="2"/>
      <c r="B670" s="2"/>
      <c r="C670" s="2"/>
      <c r="D670" s="2"/>
    </row>
    <row r="671" spans="1:4" ht="15.7" customHeight="1" x14ac:dyDescent="0.3">
      <c r="A671" s="2"/>
      <c r="B671" s="2"/>
      <c r="C671" s="2"/>
      <c r="D671" s="2"/>
    </row>
    <row r="672" spans="1:4" ht="15.7" customHeight="1" x14ac:dyDescent="0.3">
      <c r="A672" s="2"/>
      <c r="B672" s="2"/>
      <c r="C672" s="2"/>
      <c r="D672" s="2"/>
    </row>
    <row r="673" spans="1:4" ht="15.7" customHeight="1" x14ac:dyDescent="0.3">
      <c r="A673" s="2"/>
      <c r="B673" s="2"/>
      <c r="C673" s="2"/>
      <c r="D673" s="2"/>
    </row>
    <row r="674" spans="1:4" ht="15.7" customHeight="1" x14ac:dyDescent="0.3">
      <c r="A674" s="2"/>
      <c r="B674" s="2"/>
      <c r="C674" s="2"/>
      <c r="D674" s="2"/>
    </row>
    <row r="675" spans="1:4" ht="15.7" customHeight="1" x14ac:dyDescent="0.3">
      <c r="A675" s="2"/>
      <c r="B675" s="2"/>
      <c r="C675" s="2"/>
      <c r="D675" s="2"/>
    </row>
    <row r="676" spans="1:4" ht="15.7" customHeight="1" x14ac:dyDescent="0.3">
      <c r="A676" s="2"/>
      <c r="B676" s="2"/>
      <c r="C676" s="2"/>
      <c r="D676" s="2"/>
    </row>
    <row r="677" spans="1:4" ht="15.7" customHeight="1" x14ac:dyDescent="0.3">
      <c r="A677" s="2"/>
      <c r="B677" s="2"/>
      <c r="C677" s="2"/>
      <c r="D677" s="2"/>
    </row>
    <row r="678" spans="1:4" ht="15.7" customHeight="1" x14ac:dyDescent="0.3">
      <c r="A678" s="2"/>
      <c r="B678" s="2"/>
      <c r="C678" s="2"/>
      <c r="D678" s="2"/>
    </row>
    <row r="679" spans="1:4" ht="15.7" customHeight="1" x14ac:dyDescent="0.3">
      <c r="A679" s="2"/>
      <c r="B679" s="2"/>
      <c r="C679" s="2"/>
      <c r="D679" s="2"/>
    </row>
    <row r="680" spans="1:4" ht="15.7" customHeight="1" x14ac:dyDescent="0.3">
      <c r="A680" s="2"/>
      <c r="B680" s="2"/>
      <c r="C680" s="2"/>
      <c r="D680" s="2"/>
    </row>
    <row r="681" spans="1:4" ht="15.7" customHeight="1" x14ac:dyDescent="0.3">
      <c r="A681" s="2"/>
      <c r="B681" s="2"/>
      <c r="C681" s="2"/>
      <c r="D681" s="2"/>
    </row>
    <row r="682" spans="1:4" ht="15.7" customHeight="1" x14ac:dyDescent="0.3">
      <c r="A682" s="2"/>
      <c r="B682" s="2"/>
      <c r="C682" s="2"/>
      <c r="D682" s="2"/>
    </row>
    <row r="683" spans="1:4" ht="15.7" customHeight="1" x14ac:dyDescent="0.3">
      <c r="A683" s="2"/>
      <c r="B683" s="2"/>
      <c r="C683" s="2"/>
      <c r="D683" s="2"/>
    </row>
    <row r="684" spans="1:4" ht="15.7" customHeight="1" x14ac:dyDescent="0.3">
      <c r="A684" s="2"/>
      <c r="B684" s="2"/>
      <c r="C684" s="2"/>
      <c r="D684" s="2"/>
    </row>
    <row r="685" spans="1:4" ht="15.7" customHeight="1" x14ac:dyDescent="0.3">
      <c r="A685" s="2"/>
      <c r="B685" s="2"/>
      <c r="C685" s="2"/>
      <c r="D685" s="2"/>
    </row>
    <row r="686" spans="1:4" ht="15.7" customHeight="1" x14ac:dyDescent="0.3">
      <c r="A686" s="2"/>
      <c r="B686" s="2"/>
      <c r="C686" s="2"/>
      <c r="D686" s="2"/>
    </row>
    <row r="687" spans="1:4" ht="15.7" customHeight="1" x14ac:dyDescent="0.3">
      <c r="A687" s="2"/>
      <c r="B687" s="2"/>
      <c r="C687" s="2"/>
      <c r="D687" s="2"/>
    </row>
    <row r="688" spans="1:4" ht="15.7" customHeight="1" x14ac:dyDescent="0.3">
      <c r="A688" s="2"/>
      <c r="B688" s="2"/>
      <c r="C688" s="2"/>
      <c r="D688" s="2"/>
    </row>
    <row r="689" spans="1:4" ht="15.7" customHeight="1" x14ac:dyDescent="0.3">
      <c r="A689" s="2"/>
      <c r="B689" s="2"/>
      <c r="C689" s="2"/>
      <c r="D689" s="2"/>
    </row>
    <row r="690" spans="1:4" ht="15.7" customHeight="1" x14ac:dyDescent="0.3">
      <c r="A690" s="2"/>
      <c r="B690" s="2"/>
      <c r="C690" s="2"/>
      <c r="D690" s="2"/>
    </row>
    <row r="691" spans="1:4" ht="15.7" customHeight="1" x14ac:dyDescent="0.3">
      <c r="A691" s="2"/>
      <c r="B691" s="2"/>
      <c r="C691" s="2"/>
      <c r="D691" s="2"/>
    </row>
    <row r="692" spans="1:4" ht="15.7" customHeight="1" x14ac:dyDescent="0.3">
      <c r="A692" s="2"/>
      <c r="B692" s="2"/>
      <c r="C692" s="2"/>
      <c r="D692" s="2"/>
    </row>
    <row r="693" spans="1:4" ht="15.7" customHeight="1" x14ac:dyDescent="0.3">
      <c r="A693" s="2"/>
      <c r="B693" s="2"/>
      <c r="C693" s="2"/>
      <c r="D693" s="2"/>
    </row>
    <row r="694" spans="1:4" ht="15.7" customHeight="1" x14ac:dyDescent="0.3">
      <c r="A694" s="2"/>
      <c r="B694" s="2"/>
      <c r="C694" s="2"/>
      <c r="D694" s="2"/>
    </row>
    <row r="695" spans="1:4" ht="15.7" customHeight="1" x14ac:dyDescent="0.3">
      <c r="A695" s="2"/>
      <c r="B695" s="2"/>
      <c r="C695" s="2"/>
      <c r="D695" s="2"/>
    </row>
    <row r="696" spans="1:4" ht="15.7" customHeight="1" x14ac:dyDescent="0.3">
      <c r="A696" s="2"/>
      <c r="B696" s="2"/>
      <c r="C696" s="2"/>
      <c r="D696" s="2"/>
    </row>
    <row r="697" spans="1:4" ht="15.7" customHeight="1" x14ac:dyDescent="0.3">
      <c r="A697" s="2"/>
      <c r="B697" s="2"/>
      <c r="C697" s="2"/>
      <c r="D697" s="2"/>
    </row>
    <row r="698" spans="1:4" ht="15.7" customHeight="1" x14ac:dyDescent="0.3">
      <c r="A698" s="2"/>
      <c r="B698" s="2"/>
      <c r="C698" s="2"/>
      <c r="D698" s="2"/>
    </row>
    <row r="699" spans="1:4" ht="15.7" customHeight="1" x14ac:dyDescent="0.3">
      <c r="A699" s="2"/>
      <c r="B699" s="2"/>
      <c r="C699" s="2"/>
      <c r="D699" s="2"/>
    </row>
    <row r="700" spans="1:4" ht="15.7" customHeight="1" x14ac:dyDescent="0.3">
      <c r="A700" s="2"/>
      <c r="B700" s="2"/>
      <c r="C700" s="2"/>
      <c r="D700" s="2"/>
    </row>
    <row r="701" spans="1:4" ht="15.7" customHeight="1" x14ac:dyDescent="0.3">
      <c r="A701" s="2"/>
      <c r="B701" s="2"/>
      <c r="C701" s="2"/>
      <c r="D701" s="2"/>
    </row>
    <row r="702" spans="1:4" ht="15.7" customHeight="1" x14ac:dyDescent="0.3">
      <c r="A702" s="2"/>
      <c r="B702" s="2"/>
      <c r="C702" s="2"/>
      <c r="D702" s="2"/>
    </row>
    <row r="703" spans="1:4" ht="15.7" customHeight="1" x14ac:dyDescent="0.3">
      <c r="A703" s="2"/>
      <c r="B703" s="2"/>
      <c r="C703" s="2"/>
      <c r="D703" s="2"/>
    </row>
    <row r="704" spans="1:4" ht="15.7" customHeight="1" x14ac:dyDescent="0.3">
      <c r="A704" s="2"/>
      <c r="B704" s="2"/>
      <c r="C704" s="2"/>
      <c r="D704" s="2"/>
    </row>
    <row r="705" spans="1:4" ht="15.7" customHeight="1" x14ac:dyDescent="0.3">
      <c r="A705" s="2"/>
      <c r="B705" s="2"/>
      <c r="C705" s="2"/>
      <c r="D705" s="2"/>
    </row>
    <row r="706" spans="1:4" ht="15.7" customHeight="1" x14ac:dyDescent="0.3">
      <c r="A706" s="2"/>
      <c r="B706" s="2"/>
      <c r="C706" s="2"/>
      <c r="D706" s="2"/>
    </row>
    <row r="707" spans="1:4" ht="15.7" customHeight="1" x14ac:dyDescent="0.3">
      <c r="A707" s="2"/>
      <c r="B707" s="2"/>
      <c r="C707" s="2"/>
      <c r="D707" s="2"/>
    </row>
    <row r="708" spans="1:4" ht="15.7" customHeight="1" x14ac:dyDescent="0.3">
      <c r="A708" s="2"/>
      <c r="B708" s="2"/>
      <c r="C708" s="2"/>
      <c r="D708" s="2"/>
    </row>
    <row r="709" spans="1:4" ht="15.7" customHeight="1" x14ac:dyDescent="0.3">
      <c r="A709" s="2"/>
      <c r="B709" s="2"/>
      <c r="C709" s="2"/>
      <c r="D709" s="2"/>
    </row>
    <row r="710" spans="1:4" ht="15.7" customHeight="1" x14ac:dyDescent="0.3">
      <c r="A710" s="2"/>
      <c r="B710" s="2"/>
      <c r="C710" s="2"/>
      <c r="D710" s="2"/>
    </row>
    <row r="711" spans="1:4" ht="15.7" customHeight="1" x14ac:dyDescent="0.3">
      <c r="A711" s="2"/>
      <c r="B711" s="2"/>
      <c r="C711" s="2"/>
      <c r="D711" s="2"/>
    </row>
    <row r="712" spans="1:4" ht="15.7" customHeight="1" x14ac:dyDescent="0.3">
      <c r="A712" s="2"/>
      <c r="B712" s="2"/>
      <c r="C712" s="2"/>
      <c r="D712" s="2"/>
    </row>
    <row r="713" spans="1:4" ht="15.7" customHeight="1" x14ac:dyDescent="0.3">
      <c r="A713" s="2"/>
      <c r="B713" s="2"/>
      <c r="C713" s="2"/>
      <c r="D713" s="2"/>
    </row>
    <row r="714" spans="1:4" ht="15.7" customHeight="1" x14ac:dyDescent="0.3">
      <c r="A714" s="2"/>
      <c r="B714" s="2"/>
      <c r="C714" s="2"/>
      <c r="D714" s="2"/>
    </row>
    <row r="715" spans="1:4" ht="15.7" customHeight="1" x14ac:dyDescent="0.3">
      <c r="A715" s="2"/>
      <c r="B715" s="2"/>
      <c r="C715" s="2"/>
      <c r="D715" s="2"/>
    </row>
    <row r="716" spans="1:4" ht="15.7" customHeight="1" x14ac:dyDescent="0.3">
      <c r="A716" s="2"/>
      <c r="B716" s="2"/>
      <c r="C716" s="2"/>
      <c r="D716" s="2"/>
    </row>
    <row r="717" spans="1:4" ht="15.7" customHeight="1" x14ac:dyDescent="0.3">
      <c r="A717" s="2"/>
      <c r="B717" s="2"/>
      <c r="C717" s="2"/>
      <c r="D717" s="2"/>
    </row>
    <row r="718" spans="1:4" ht="15.7" customHeight="1" x14ac:dyDescent="0.3">
      <c r="A718" s="2"/>
      <c r="B718" s="2"/>
      <c r="C718" s="2"/>
      <c r="D718" s="2"/>
    </row>
    <row r="719" spans="1:4" ht="15.7" customHeight="1" x14ac:dyDescent="0.3">
      <c r="A719" s="2"/>
      <c r="B719" s="2"/>
      <c r="C719" s="2"/>
      <c r="D719" s="2"/>
    </row>
    <row r="720" spans="1:4" ht="15.7" customHeight="1" x14ac:dyDescent="0.3">
      <c r="A720" s="2"/>
      <c r="B720" s="2"/>
      <c r="C720" s="2"/>
      <c r="D720" s="2"/>
    </row>
    <row r="721" spans="1:4" ht="15.7" customHeight="1" x14ac:dyDescent="0.3">
      <c r="A721" s="2"/>
      <c r="B721" s="2"/>
      <c r="C721" s="2"/>
      <c r="D721" s="2"/>
    </row>
    <row r="722" spans="1:4" ht="15.7" customHeight="1" x14ac:dyDescent="0.3">
      <c r="A722" s="2"/>
      <c r="B722" s="2"/>
      <c r="C722" s="2"/>
      <c r="D722" s="2"/>
    </row>
    <row r="723" spans="1:4" ht="15.7" customHeight="1" x14ac:dyDescent="0.3">
      <c r="A723" s="2"/>
      <c r="B723" s="2"/>
      <c r="C723" s="2"/>
      <c r="D723" s="2"/>
    </row>
    <row r="724" spans="1:4" ht="15.7" customHeight="1" x14ac:dyDescent="0.3">
      <c r="A724" s="2"/>
      <c r="B724" s="2"/>
      <c r="C724" s="2"/>
      <c r="D724" s="2"/>
    </row>
    <row r="725" spans="1:4" ht="15.7" customHeight="1" x14ac:dyDescent="0.3">
      <c r="A725" s="2"/>
      <c r="B725" s="2"/>
      <c r="C725" s="2"/>
      <c r="D725" s="2"/>
    </row>
    <row r="726" spans="1:4" ht="15.7" customHeight="1" x14ac:dyDescent="0.3">
      <c r="A726" s="2"/>
      <c r="B726" s="2"/>
      <c r="C726" s="2"/>
      <c r="D726" s="2"/>
    </row>
    <row r="727" spans="1:4" ht="15.7" customHeight="1" x14ac:dyDescent="0.3">
      <c r="A727" s="2"/>
      <c r="B727" s="2"/>
      <c r="C727" s="2"/>
      <c r="D727" s="2"/>
    </row>
    <row r="728" spans="1:4" ht="15.7" customHeight="1" x14ac:dyDescent="0.3">
      <c r="A728" s="2"/>
      <c r="B728" s="2"/>
      <c r="C728" s="2"/>
      <c r="D728" s="2"/>
    </row>
    <row r="729" spans="1:4" ht="15.7" customHeight="1" x14ac:dyDescent="0.3">
      <c r="A729" s="2"/>
      <c r="B729" s="2"/>
      <c r="C729" s="2"/>
      <c r="D729" s="2"/>
    </row>
    <row r="730" spans="1:4" ht="15.7" customHeight="1" x14ac:dyDescent="0.3">
      <c r="A730" s="2"/>
      <c r="B730" s="2"/>
      <c r="C730" s="2"/>
      <c r="D730" s="2"/>
    </row>
    <row r="731" spans="1:4" ht="15.7" customHeight="1" x14ac:dyDescent="0.3">
      <c r="A731" s="2"/>
      <c r="B731" s="2"/>
      <c r="C731" s="2"/>
      <c r="D731" s="2"/>
    </row>
    <row r="732" spans="1:4" ht="15.7" customHeight="1" x14ac:dyDescent="0.3">
      <c r="A732" s="2"/>
      <c r="B732" s="2"/>
      <c r="C732" s="2"/>
      <c r="D732" s="2"/>
    </row>
    <row r="733" spans="1:4" ht="15.7" customHeight="1" x14ac:dyDescent="0.3">
      <c r="A733" s="2"/>
      <c r="B733" s="2"/>
      <c r="C733" s="2"/>
      <c r="D733" s="2"/>
    </row>
    <row r="734" spans="1:4" ht="15.7" customHeight="1" x14ac:dyDescent="0.3">
      <c r="A734" s="2"/>
      <c r="B734" s="2"/>
      <c r="C734" s="2"/>
      <c r="D734" s="2"/>
    </row>
    <row r="735" spans="1:4" ht="15.7" customHeight="1" x14ac:dyDescent="0.3">
      <c r="A735" s="2"/>
      <c r="B735" s="2"/>
      <c r="C735" s="2"/>
      <c r="D735" s="2"/>
    </row>
    <row r="736" spans="1:4" ht="15.7" customHeight="1" x14ac:dyDescent="0.3">
      <c r="A736" s="2"/>
      <c r="B736" s="2"/>
      <c r="C736" s="2"/>
      <c r="D736" s="2"/>
    </row>
    <row r="737" spans="1:4" ht="15.7" customHeight="1" x14ac:dyDescent="0.3">
      <c r="A737" s="2"/>
      <c r="B737" s="2"/>
      <c r="C737" s="2"/>
      <c r="D737" s="2"/>
    </row>
    <row r="738" spans="1:4" ht="15.7" customHeight="1" x14ac:dyDescent="0.3">
      <c r="A738" s="2"/>
      <c r="B738" s="2"/>
      <c r="C738" s="2"/>
      <c r="D738" s="2"/>
    </row>
    <row r="739" spans="1:4" ht="15.7" customHeight="1" x14ac:dyDescent="0.3">
      <c r="A739" s="2"/>
      <c r="B739" s="2"/>
      <c r="C739" s="2"/>
      <c r="D739" s="2"/>
    </row>
    <row r="740" spans="1:4" ht="15.7" customHeight="1" x14ac:dyDescent="0.3">
      <c r="A740" s="2"/>
      <c r="B740" s="2"/>
      <c r="C740" s="2"/>
      <c r="D740" s="2"/>
    </row>
    <row r="741" spans="1:4" ht="15.7" customHeight="1" x14ac:dyDescent="0.3">
      <c r="A741" s="2"/>
      <c r="B741" s="2"/>
      <c r="C741" s="2"/>
      <c r="D741" s="2"/>
    </row>
    <row r="742" spans="1:4" ht="15.7" customHeight="1" x14ac:dyDescent="0.3">
      <c r="A742" s="2"/>
      <c r="B742" s="2"/>
      <c r="C742" s="2"/>
      <c r="D742" s="2"/>
    </row>
    <row r="743" spans="1:4" ht="15.7" customHeight="1" x14ac:dyDescent="0.3">
      <c r="A743" s="2"/>
      <c r="B743" s="2"/>
      <c r="C743" s="2"/>
      <c r="D743" s="2"/>
    </row>
    <row r="744" spans="1:4" ht="15.7" customHeight="1" x14ac:dyDescent="0.3">
      <c r="A744" s="2"/>
      <c r="B744" s="2"/>
      <c r="C744" s="2"/>
      <c r="D744" s="2"/>
    </row>
    <row r="745" spans="1:4" ht="15.7" customHeight="1" x14ac:dyDescent="0.3">
      <c r="A745" s="2"/>
      <c r="B745" s="2"/>
      <c r="C745" s="2"/>
      <c r="D745" s="2"/>
    </row>
    <row r="746" spans="1:4" ht="15.7" customHeight="1" x14ac:dyDescent="0.3">
      <c r="A746" s="2"/>
      <c r="B746" s="2"/>
      <c r="C746" s="2"/>
      <c r="D746" s="2"/>
    </row>
    <row r="747" spans="1:4" ht="15.7" customHeight="1" x14ac:dyDescent="0.3">
      <c r="A747" s="2"/>
      <c r="B747" s="2"/>
      <c r="C747" s="2"/>
      <c r="D747" s="2"/>
    </row>
    <row r="748" spans="1:4" ht="15.7" customHeight="1" x14ac:dyDescent="0.3">
      <c r="A748" s="2"/>
      <c r="B748" s="2"/>
      <c r="C748" s="2"/>
      <c r="D748" s="2"/>
    </row>
    <row r="749" spans="1:4" ht="15.7" customHeight="1" x14ac:dyDescent="0.3">
      <c r="A749" s="2"/>
      <c r="B749" s="2"/>
      <c r="C749" s="2"/>
      <c r="D749" s="2"/>
    </row>
    <row r="750" spans="1:4" ht="15.7" customHeight="1" x14ac:dyDescent="0.3">
      <c r="A750" s="2"/>
      <c r="B750" s="2"/>
      <c r="C750" s="2"/>
      <c r="D750" s="2"/>
    </row>
    <row r="751" spans="1:4" ht="15.7" customHeight="1" x14ac:dyDescent="0.3">
      <c r="A751" s="2"/>
      <c r="B751" s="2"/>
      <c r="C751" s="2"/>
      <c r="D751" s="2"/>
    </row>
    <row r="752" spans="1:4" ht="15.7" customHeight="1" x14ac:dyDescent="0.3">
      <c r="A752" s="2"/>
      <c r="B752" s="2"/>
      <c r="C752" s="2"/>
      <c r="D752" s="2"/>
    </row>
    <row r="753" spans="1:4" ht="15.7" customHeight="1" x14ac:dyDescent="0.3">
      <c r="A753" s="2"/>
      <c r="B753" s="2"/>
      <c r="C753" s="2"/>
      <c r="D753" s="2"/>
    </row>
    <row r="754" spans="1:4" ht="15.7" customHeight="1" x14ac:dyDescent="0.3">
      <c r="A754" s="2"/>
      <c r="B754" s="2"/>
      <c r="C754" s="2"/>
      <c r="D754" s="2"/>
    </row>
    <row r="755" spans="1:4" ht="15.7" customHeight="1" x14ac:dyDescent="0.3">
      <c r="A755" s="2"/>
      <c r="B755" s="2"/>
      <c r="C755" s="2"/>
      <c r="D755" s="2"/>
    </row>
    <row r="756" spans="1:4" ht="15.7" customHeight="1" x14ac:dyDescent="0.3">
      <c r="A756" s="2"/>
      <c r="B756" s="2"/>
      <c r="C756" s="2"/>
      <c r="D756" s="2"/>
    </row>
    <row r="757" spans="1:4" ht="15.7" customHeight="1" x14ac:dyDescent="0.3">
      <c r="A757" s="2"/>
      <c r="B757" s="2"/>
      <c r="C757" s="2"/>
      <c r="D757" s="2"/>
    </row>
    <row r="758" spans="1:4" ht="15.7" customHeight="1" x14ac:dyDescent="0.3">
      <c r="A758" s="2"/>
      <c r="B758" s="2"/>
      <c r="C758" s="2"/>
      <c r="D758" s="2"/>
    </row>
    <row r="759" spans="1:4" ht="15.7" customHeight="1" x14ac:dyDescent="0.3">
      <c r="A759" s="2"/>
      <c r="B759" s="2"/>
      <c r="C759" s="2"/>
      <c r="D759" s="2"/>
    </row>
    <row r="760" spans="1:4" ht="15.7" customHeight="1" x14ac:dyDescent="0.3">
      <c r="A760" s="2"/>
      <c r="B760" s="2"/>
      <c r="C760" s="2"/>
      <c r="D760" s="2"/>
    </row>
    <row r="761" spans="1:4" ht="15.7" customHeight="1" x14ac:dyDescent="0.3">
      <c r="A761" s="2"/>
      <c r="B761" s="2"/>
      <c r="C761" s="2"/>
      <c r="D761" s="2"/>
    </row>
    <row r="762" spans="1:4" ht="15.7" customHeight="1" x14ac:dyDescent="0.3">
      <c r="A762" s="2"/>
      <c r="B762" s="2"/>
      <c r="C762" s="2"/>
      <c r="D762" s="2"/>
    </row>
    <row r="763" spans="1:4" ht="15.7" customHeight="1" x14ac:dyDescent="0.3">
      <c r="A763" s="2"/>
      <c r="B763" s="2"/>
      <c r="C763" s="2"/>
      <c r="D763" s="2"/>
    </row>
    <row r="764" spans="1:4" ht="15.7" customHeight="1" x14ac:dyDescent="0.3">
      <c r="A764" s="2"/>
      <c r="B764" s="2"/>
      <c r="C764" s="2"/>
      <c r="D764" s="2"/>
    </row>
    <row r="765" spans="1:4" ht="15.7" customHeight="1" x14ac:dyDescent="0.3">
      <c r="A765" s="2"/>
      <c r="B765" s="2"/>
      <c r="C765" s="2"/>
      <c r="D765" s="2"/>
    </row>
    <row r="766" spans="1:4" ht="15.7" customHeight="1" x14ac:dyDescent="0.3">
      <c r="A766" s="2"/>
      <c r="B766" s="2"/>
      <c r="C766" s="2"/>
      <c r="D766" s="2"/>
    </row>
    <row r="767" spans="1:4" ht="15.7" customHeight="1" x14ac:dyDescent="0.3">
      <c r="A767" s="2"/>
      <c r="B767" s="2"/>
      <c r="C767" s="2"/>
      <c r="D767" s="2"/>
    </row>
    <row r="768" spans="1:4" ht="15.7" customHeight="1" x14ac:dyDescent="0.3">
      <c r="A768" s="2"/>
      <c r="B768" s="2"/>
      <c r="C768" s="2"/>
      <c r="D768" s="2"/>
    </row>
    <row r="769" spans="1:4" ht="15.7" customHeight="1" x14ac:dyDescent="0.3">
      <c r="A769" s="2"/>
      <c r="B769" s="2"/>
      <c r="C769" s="2"/>
      <c r="D769" s="2"/>
    </row>
    <row r="770" spans="1:4" ht="15.7" customHeight="1" x14ac:dyDescent="0.3">
      <c r="A770" s="2"/>
      <c r="B770" s="2"/>
      <c r="C770" s="2"/>
      <c r="D770" s="2"/>
    </row>
    <row r="771" spans="1:4" ht="15.7" customHeight="1" x14ac:dyDescent="0.3">
      <c r="A771" s="2"/>
      <c r="B771" s="2"/>
      <c r="C771" s="2"/>
      <c r="D771" s="2"/>
    </row>
    <row r="772" spans="1:4" ht="15.7" customHeight="1" x14ac:dyDescent="0.3">
      <c r="A772" s="2"/>
      <c r="B772" s="2"/>
      <c r="C772" s="2"/>
      <c r="D772" s="2"/>
    </row>
    <row r="773" spans="1:4" ht="15.7" customHeight="1" x14ac:dyDescent="0.3">
      <c r="A773" s="2"/>
      <c r="B773" s="2"/>
      <c r="C773" s="2"/>
      <c r="D773" s="2"/>
    </row>
    <row r="774" spans="1:4" ht="15.7" customHeight="1" x14ac:dyDescent="0.3">
      <c r="A774" s="2"/>
      <c r="B774" s="2"/>
      <c r="C774" s="2"/>
      <c r="D774" s="2"/>
    </row>
    <row r="775" spans="1:4" ht="15.7" customHeight="1" x14ac:dyDescent="0.3">
      <c r="A775" s="2"/>
      <c r="B775" s="2"/>
      <c r="C775" s="2"/>
      <c r="D775" s="2"/>
    </row>
    <row r="776" spans="1:4" ht="15.7" customHeight="1" x14ac:dyDescent="0.3">
      <c r="A776" s="2"/>
      <c r="B776" s="2"/>
      <c r="C776" s="2"/>
      <c r="D776" s="2"/>
    </row>
    <row r="777" spans="1:4" ht="15.7" customHeight="1" x14ac:dyDescent="0.3">
      <c r="A777" s="2"/>
      <c r="B777" s="2"/>
      <c r="C777" s="2"/>
      <c r="D777" s="2"/>
    </row>
    <row r="778" spans="1:4" ht="15.7" customHeight="1" x14ac:dyDescent="0.3">
      <c r="A778" s="2"/>
      <c r="B778" s="2"/>
      <c r="C778" s="2"/>
      <c r="D778" s="2"/>
    </row>
    <row r="779" spans="1:4" ht="15.7" customHeight="1" x14ac:dyDescent="0.3">
      <c r="A779" s="2"/>
      <c r="B779" s="2"/>
      <c r="C779" s="2"/>
      <c r="D779" s="2"/>
    </row>
    <row r="780" spans="1:4" ht="15.7" customHeight="1" x14ac:dyDescent="0.3">
      <c r="A780" s="2"/>
      <c r="B780" s="2"/>
      <c r="C780" s="2"/>
      <c r="D780" s="2"/>
    </row>
    <row r="781" spans="1:4" ht="15.7" customHeight="1" x14ac:dyDescent="0.3">
      <c r="A781" s="2"/>
      <c r="B781" s="2"/>
      <c r="C781" s="2"/>
      <c r="D781" s="2"/>
    </row>
    <row r="782" spans="1:4" ht="15.7" customHeight="1" x14ac:dyDescent="0.3">
      <c r="A782" s="2"/>
      <c r="B782" s="2"/>
      <c r="C782" s="2"/>
      <c r="D782" s="2"/>
    </row>
    <row r="783" spans="1:4" ht="15.7" customHeight="1" x14ac:dyDescent="0.3">
      <c r="A783" s="2"/>
      <c r="B783" s="2"/>
      <c r="C783" s="2"/>
      <c r="D783" s="2"/>
    </row>
    <row r="784" spans="1:4" ht="15.7" customHeight="1" x14ac:dyDescent="0.3">
      <c r="A784" s="2"/>
      <c r="B784" s="2"/>
      <c r="C784" s="2"/>
      <c r="D784" s="2"/>
    </row>
    <row r="785" spans="1:4" ht="15.7" customHeight="1" x14ac:dyDescent="0.3">
      <c r="A785" s="2"/>
      <c r="B785" s="2"/>
      <c r="C785" s="2"/>
      <c r="D785" s="2"/>
    </row>
    <row r="786" spans="1:4" ht="15.7" customHeight="1" x14ac:dyDescent="0.3">
      <c r="A786" s="2"/>
      <c r="B786" s="2"/>
      <c r="C786" s="2"/>
      <c r="D786" s="2"/>
    </row>
    <row r="787" spans="1:4" ht="15.7" customHeight="1" x14ac:dyDescent="0.3">
      <c r="A787" s="2"/>
      <c r="B787" s="2"/>
      <c r="C787" s="2"/>
      <c r="D787" s="2"/>
    </row>
    <row r="788" spans="1:4" ht="15.7" customHeight="1" x14ac:dyDescent="0.3">
      <c r="A788" s="2"/>
      <c r="B788" s="2"/>
      <c r="C788" s="2"/>
      <c r="D788" s="2"/>
    </row>
    <row r="789" spans="1:4" ht="15.7" customHeight="1" x14ac:dyDescent="0.3">
      <c r="A789" s="2"/>
      <c r="B789" s="2"/>
      <c r="C789" s="2"/>
      <c r="D789" s="2"/>
    </row>
    <row r="790" spans="1:4" ht="15.7" customHeight="1" x14ac:dyDescent="0.3">
      <c r="A790" s="2"/>
      <c r="B790" s="2"/>
      <c r="C790" s="2"/>
      <c r="D790" s="2"/>
    </row>
    <row r="791" spans="1:4" ht="15.7" customHeight="1" x14ac:dyDescent="0.3">
      <c r="A791" s="2"/>
      <c r="B791" s="2"/>
      <c r="C791" s="2"/>
      <c r="D791" s="2"/>
    </row>
    <row r="792" spans="1:4" ht="15.7" customHeight="1" x14ac:dyDescent="0.3">
      <c r="A792" s="2"/>
      <c r="B792" s="2"/>
      <c r="C792" s="2"/>
      <c r="D792" s="2"/>
    </row>
    <row r="793" spans="1:4" ht="15.7" customHeight="1" x14ac:dyDescent="0.3">
      <c r="A793" s="2"/>
      <c r="B793" s="2"/>
      <c r="C793" s="2"/>
      <c r="D793" s="2"/>
    </row>
    <row r="794" spans="1:4" ht="15.7" customHeight="1" x14ac:dyDescent="0.3">
      <c r="A794" s="2"/>
      <c r="B794" s="2"/>
      <c r="C794" s="2"/>
      <c r="D794" s="2"/>
    </row>
    <row r="795" spans="1:4" ht="15.7" customHeight="1" x14ac:dyDescent="0.3">
      <c r="A795" s="2"/>
      <c r="B795" s="2"/>
      <c r="C795" s="2"/>
      <c r="D795" s="2"/>
    </row>
    <row r="796" spans="1:4" ht="15.7" customHeight="1" x14ac:dyDescent="0.3">
      <c r="A796" s="2"/>
      <c r="B796" s="2"/>
      <c r="C796" s="2"/>
      <c r="D796" s="2"/>
    </row>
    <row r="797" spans="1:4" ht="15.7" customHeight="1" x14ac:dyDescent="0.3">
      <c r="A797" s="2"/>
      <c r="B797" s="2"/>
      <c r="C797" s="2"/>
      <c r="D797" s="2"/>
    </row>
    <row r="798" spans="1:4" ht="15.7" customHeight="1" x14ac:dyDescent="0.3">
      <c r="A798" s="2"/>
      <c r="B798" s="2"/>
      <c r="C798" s="2"/>
      <c r="D798" s="2"/>
    </row>
    <row r="799" spans="1:4" ht="15.7" customHeight="1" x14ac:dyDescent="0.3">
      <c r="A799" s="2"/>
      <c r="B799" s="2"/>
      <c r="C799" s="2"/>
      <c r="D799" s="2"/>
    </row>
    <row r="800" spans="1:4" ht="15.7" customHeight="1" x14ac:dyDescent="0.3">
      <c r="A800" s="2"/>
      <c r="B800" s="2"/>
      <c r="C800" s="2"/>
      <c r="D800" s="2"/>
    </row>
    <row r="801" spans="1:4" ht="15.7" customHeight="1" x14ac:dyDescent="0.3">
      <c r="A801" s="2"/>
      <c r="B801" s="2"/>
      <c r="C801" s="2"/>
      <c r="D801" s="2"/>
    </row>
    <row r="802" spans="1:4" ht="15.7" customHeight="1" x14ac:dyDescent="0.3">
      <c r="A802" s="2"/>
      <c r="B802" s="2"/>
      <c r="C802" s="2"/>
      <c r="D802" s="2"/>
    </row>
    <row r="803" spans="1:4" ht="15.7" customHeight="1" x14ac:dyDescent="0.3">
      <c r="A803" s="2"/>
      <c r="B803" s="2"/>
      <c r="C803" s="2"/>
      <c r="D803" s="2"/>
    </row>
    <row r="804" spans="1:4" ht="15.7" customHeight="1" x14ac:dyDescent="0.3">
      <c r="A804" s="2"/>
      <c r="B804" s="2"/>
      <c r="C804" s="2"/>
      <c r="D804" s="2"/>
    </row>
    <row r="805" spans="1:4" ht="15.7" customHeight="1" x14ac:dyDescent="0.3">
      <c r="A805" s="2"/>
      <c r="B805" s="2"/>
      <c r="C805" s="2"/>
      <c r="D805" s="2"/>
    </row>
    <row r="806" spans="1:4" ht="15.7" customHeight="1" x14ac:dyDescent="0.3">
      <c r="A806" s="2"/>
      <c r="B806" s="2"/>
      <c r="C806" s="2"/>
      <c r="D806" s="2"/>
    </row>
    <row r="807" spans="1:4" ht="15.7" customHeight="1" x14ac:dyDescent="0.3">
      <c r="A807" s="2"/>
      <c r="B807" s="2"/>
      <c r="C807" s="2"/>
      <c r="D807" s="2"/>
    </row>
    <row r="808" spans="1:4" ht="15.7" customHeight="1" x14ac:dyDescent="0.3">
      <c r="A808" s="2"/>
      <c r="B808" s="2"/>
      <c r="C808" s="2"/>
      <c r="D808" s="2"/>
    </row>
    <row r="809" spans="1:4" ht="15.7" customHeight="1" x14ac:dyDescent="0.3">
      <c r="A809" s="2"/>
      <c r="B809" s="2"/>
      <c r="C809" s="2"/>
      <c r="D809" s="2"/>
    </row>
    <row r="810" spans="1:4" ht="15.7" customHeight="1" x14ac:dyDescent="0.3">
      <c r="A810" s="2"/>
      <c r="B810" s="2"/>
      <c r="C810" s="2"/>
      <c r="D810" s="2"/>
    </row>
    <row r="811" spans="1:4" ht="15.7" customHeight="1" x14ac:dyDescent="0.3">
      <c r="A811" s="2"/>
      <c r="B811" s="2"/>
      <c r="C811" s="2"/>
      <c r="D811" s="2"/>
    </row>
    <row r="812" spans="1:4" ht="15.7" customHeight="1" x14ac:dyDescent="0.3">
      <c r="A812" s="2"/>
      <c r="B812" s="2"/>
      <c r="C812" s="2"/>
      <c r="D812" s="2"/>
    </row>
    <row r="813" spans="1:4" ht="15.7" customHeight="1" x14ac:dyDescent="0.3">
      <c r="A813" s="2"/>
      <c r="B813" s="2"/>
      <c r="C813" s="2"/>
      <c r="D813" s="2"/>
    </row>
    <row r="814" spans="1:4" ht="15.7" customHeight="1" x14ac:dyDescent="0.3">
      <c r="A814" s="2"/>
      <c r="B814" s="2"/>
      <c r="C814" s="2"/>
      <c r="D814" s="2"/>
    </row>
    <row r="815" spans="1:4" ht="15.7" customHeight="1" x14ac:dyDescent="0.3">
      <c r="A815" s="2"/>
      <c r="B815" s="2"/>
      <c r="C815" s="2"/>
      <c r="D815" s="2"/>
    </row>
    <row r="816" spans="1:4" ht="15.7" customHeight="1" x14ac:dyDescent="0.3">
      <c r="A816" s="2"/>
      <c r="B816" s="2"/>
      <c r="C816" s="2"/>
      <c r="D816" s="2"/>
    </row>
    <row r="817" spans="1:4" ht="15.7" customHeight="1" x14ac:dyDescent="0.3">
      <c r="A817" s="2"/>
      <c r="B817" s="2"/>
      <c r="C817" s="2"/>
      <c r="D817" s="2"/>
    </row>
    <row r="818" spans="1:4" ht="15.7" customHeight="1" x14ac:dyDescent="0.3">
      <c r="A818" s="2"/>
      <c r="B818" s="2"/>
      <c r="C818" s="2"/>
      <c r="D818" s="2"/>
    </row>
    <row r="819" spans="1:4" ht="15.7" customHeight="1" x14ac:dyDescent="0.3">
      <c r="A819" s="2"/>
      <c r="B819" s="2"/>
      <c r="C819" s="2"/>
      <c r="D819" s="2"/>
    </row>
    <row r="820" spans="1:4" ht="15.7" customHeight="1" x14ac:dyDescent="0.3">
      <c r="A820" s="2"/>
      <c r="B820" s="2"/>
      <c r="C820" s="2"/>
      <c r="D820" s="2"/>
    </row>
    <row r="821" spans="1:4" ht="15.7" customHeight="1" x14ac:dyDescent="0.3">
      <c r="A821" s="2"/>
      <c r="B821" s="2"/>
      <c r="C821" s="2"/>
      <c r="D821" s="2"/>
    </row>
    <row r="822" spans="1:4" ht="15.7" customHeight="1" x14ac:dyDescent="0.3">
      <c r="A822" s="2"/>
      <c r="B822" s="2"/>
      <c r="C822" s="2"/>
      <c r="D822" s="2"/>
    </row>
    <row r="823" spans="1:4" ht="15.7" customHeight="1" x14ac:dyDescent="0.3">
      <c r="A823" s="2"/>
      <c r="B823" s="2"/>
      <c r="C823" s="2"/>
      <c r="D823" s="2"/>
    </row>
    <row r="824" spans="1:4" ht="15.7" customHeight="1" x14ac:dyDescent="0.3">
      <c r="A824" s="2"/>
      <c r="B824" s="2"/>
      <c r="C824" s="2"/>
      <c r="D824" s="2"/>
    </row>
    <row r="825" spans="1:4" ht="15.7" customHeight="1" x14ac:dyDescent="0.3">
      <c r="A825" s="2"/>
      <c r="B825" s="2"/>
      <c r="C825" s="2"/>
      <c r="D825" s="2"/>
    </row>
    <row r="826" spans="1:4" ht="15.7" customHeight="1" x14ac:dyDescent="0.3">
      <c r="A826" s="2"/>
      <c r="B826" s="2"/>
      <c r="C826" s="2"/>
      <c r="D826" s="2"/>
    </row>
    <row r="827" spans="1:4" ht="15.7" customHeight="1" x14ac:dyDescent="0.3">
      <c r="A827" s="2"/>
      <c r="B827" s="2"/>
      <c r="C827" s="2"/>
      <c r="D827" s="2"/>
    </row>
    <row r="828" spans="1:4" ht="15.7" customHeight="1" x14ac:dyDescent="0.3">
      <c r="A828" s="2"/>
      <c r="B828" s="2"/>
      <c r="C828" s="2"/>
      <c r="D828" s="2"/>
    </row>
    <row r="829" spans="1:4" ht="15.7" customHeight="1" x14ac:dyDescent="0.3">
      <c r="A829" s="2"/>
      <c r="B829" s="2"/>
      <c r="C829" s="2"/>
      <c r="D829" s="2"/>
    </row>
    <row r="830" spans="1:4" ht="15.7" customHeight="1" x14ac:dyDescent="0.3">
      <c r="A830" s="2"/>
      <c r="B830" s="2"/>
      <c r="C830" s="2"/>
      <c r="D830" s="2"/>
    </row>
    <row r="831" spans="1:4" ht="15.7" customHeight="1" x14ac:dyDescent="0.3">
      <c r="A831" s="2"/>
      <c r="B831" s="2"/>
      <c r="C831" s="2"/>
      <c r="D831" s="2"/>
    </row>
    <row r="832" spans="1:4" ht="15.7" customHeight="1" x14ac:dyDescent="0.3">
      <c r="A832" s="2"/>
      <c r="B832" s="2"/>
      <c r="C832" s="2"/>
      <c r="D832" s="2"/>
    </row>
    <row r="833" spans="1:4" ht="15.7" customHeight="1" x14ac:dyDescent="0.3">
      <c r="A833" s="2"/>
      <c r="B833" s="2"/>
      <c r="C833" s="2"/>
      <c r="D833" s="2"/>
    </row>
    <row r="834" spans="1:4" ht="15.7" customHeight="1" x14ac:dyDescent="0.3">
      <c r="A834" s="2"/>
      <c r="B834" s="2"/>
      <c r="C834" s="2"/>
      <c r="D834" s="2"/>
    </row>
    <row r="835" spans="1:4" ht="15.7" customHeight="1" x14ac:dyDescent="0.3">
      <c r="A835" s="2"/>
      <c r="B835" s="2"/>
      <c r="C835" s="2"/>
      <c r="D835" s="2"/>
    </row>
    <row r="836" spans="1:4" ht="15.7" customHeight="1" x14ac:dyDescent="0.3">
      <c r="A836" s="2"/>
      <c r="B836" s="2"/>
      <c r="C836" s="2"/>
      <c r="D836" s="2"/>
    </row>
    <row r="837" spans="1:4" ht="15.7" customHeight="1" x14ac:dyDescent="0.3">
      <c r="A837" s="2"/>
      <c r="B837" s="2"/>
      <c r="C837" s="2"/>
      <c r="D837" s="2"/>
    </row>
    <row r="838" spans="1:4" ht="15.7" customHeight="1" x14ac:dyDescent="0.3">
      <c r="A838" s="2"/>
      <c r="B838" s="2"/>
      <c r="C838" s="2"/>
      <c r="D838" s="2"/>
    </row>
    <row r="839" spans="1:4" ht="15.7" customHeight="1" x14ac:dyDescent="0.3">
      <c r="A839" s="2"/>
      <c r="B839" s="2"/>
      <c r="C839" s="2"/>
      <c r="D839" s="2"/>
    </row>
    <row r="840" spans="1:4" ht="15.7" customHeight="1" x14ac:dyDescent="0.3">
      <c r="A840" s="2"/>
      <c r="B840" s="2"/>
      <c r="C840" s="2"/>
      <c r="D840" s="2"/>
    </row>
    <row r="841" spans="1:4" ht="15.7" customHeight="1" x14ac:dyDescent="0.3">
      <c r="A841" s="2"/>
      <c r="B841" s="2"/>
      <c r="C841" s="2"/>
      <c r="D841" s="2"/>
    </row>
    <row r="842" spans="1:4" ht="15.7" customHeight="1" x14ac:dyDescent="0.3">
      <c r="A842" s="2"/>
      <c r="B842" s="2"/>
      <c r="C842" s="2"/>
      <c r="D842" s="2"/>
    </row>
    <row r="843" spans="1:4" ht="15.7" customHeight="1" x14ac:dyDescent="0.3">
      <c r="A843" s="2"/>
      <c r="B843" s="2"/>
      <c r="C843" s="2"/>
      <c r="D843" s="2"/>
    </row>
    <row r="844" spans="1:4" ht="15.7" customHeight="1" x14ac:dyDescent="0.3">
      <c r="A844" s="2"/>
      <c r="B844" s="2"/>
      <c r="C844" s="2"/>
      <c r="D844" s="2"/>
    </row>
    <row r="845" spans="1:4" ht="15.7" customHeight="1" x14ac:dyDescent="0.3">
      <c r="A845" s="2"/>
      <c r="B845" s="2"/>
      <c r="C845" s="2"/>
      <c r="D845" s="2"/>
    </row>
    <row r="846" spans="1:4" ht="15.7" customHeight="1" x14ac:dyDescent="0.3">
      <c r="A846" s="2"/>
      <c r="B846" s="2"/>
      <c r="C846" s="2"/>
      <c r="D846" s="2"/>
    </row>
    <row r="847" spans="1:4" ht="15.7" customHeight="1" x14ac:dyDescent="0.3">
      <c r="A847" s="2"/>
      <c r="B847" s="2"/>
      <c r="C847" s="2"/>
      <c r="D847" s="2"/>
    </row>
    <row r="848" spans="1:4" ht="15.7" customHeight="1" x14ac:dyDescent="0.3">
      <c r="A848" s="2"/>
      <c r="B848" s="2"/>
      <c r="C848" s="2"/>
      <c r="D848" s="2"/>
    </row>
    <row r="849" spans="1:4" ht="15.7" customHeight="1" x14ac:dyDescent="0.3">
      <c r="A849" s="2"/>
      <c r="B849" s="2"/>
      <c r="C849" s="2"/>
      <c r="D849" s="2"/>
    </row>
    <row r="850" spans="1:4" ht="15.7" customHeight="1" x14ac:dyDescent="0.3">
      <c r="A850" s="2"/>
      <c r="B850" s="2"/>
      <c r="C850" s="2"/>
      <c r="D850" s="2"/>
    </row>
    <row r="851" spans="1:4" ht="15.7" customHeight="1" x14ac:dyDescent="0.3">
      <c r="A851" s="2"/>
      <c r="B851" s="2"/>
      <c r="C851" s="2"/>
      <c r="D851" s="2"/>
    </row>
    <row r="852" spans="1:4" ht="15.7" customHeight="1" x14ac:dyDescent="0.3">
      <c r="A852" s="2"/>
      <c r="B852" s="2"/>
      <c r="C852" s="2"/>
      <c r="D852" s="2"/>
    </row>
    <row r="853" spans="1:4" ht="15.7" customHeight="1" x14ac:dyDescent="0.3">
      <c r="A853" s="2"/>
      <c r="B853" s="2"/>
      <c r="C853" s="2"/>
      <c r="D853" s="2"/>
    </row>
    <row r="854" spans="1:4" ht="15.7" customHeight="1" x14ac:dyDescent="0.3">
      <c r="A854" s="2"/>
      <c r="B854" s="2"/>
      <c r="C854" s="2"/>
      <c r="D854" s="2"/>
    </row>
    <row r="855" spans="1:4" ht="15.7" customHeight="1" x14ac:dyDescent="0.3">
      <c r="A855" s="2"/>
      <c r="B855" s="2"/>
      <c r="C855" s="2"/>
      <c r="D855" s="2"/>
    </row>
    <row r="856" spans="1:4" ht="15.7" customHeight="1" x14ac:dyDescent="0.3">
      <c r="A856" s="2"/>
      <c r="B856" s="2"/>
      <c r="C856" s="2"/>
      <c r="D856" s="2"/>
    </row>
    <row r="857" spans="1:4" ht="15.7" customHeight="1" x14ac:dyDescent="0.3">
      <c r="A857" s="2"/>
      <c r="B857" s="2"/>
      <c r="C857" s="2"/>
      <c r="D857" s="2"/>
    </row>
    <row r="858" spans="1:4" ht="15.7" customHeight="1" x14ac:dyDescent="0.3">
      <c r="A858" s="2"/>
      <c r="B858" s="2"/>
      <c r="C858" s="2"/>
      <c r="D858" s="2"/>
    </row>
    <row r="859" spans="1:4" ht="15.7" customHeight="1" x14ac:dyDescent="0.3">
      <c r="A859" s="2"/>
      <c r="B859" s="2"/>
      <c r="C859" s="2"/>
      <c r="D859" s="2"/>
    </row>
    <row r="860" spans="1:4" ht="15.7" customHeight="1" x14ac:dyDescent="0.3">
      <c r="A860" s="2"/>
      <c r="B860" s="2"/>
      <c r="C860" s="2"/>
      <c r="D860" s="2"/>
    </row>
    <row r="861" spans="1:4" ht="15.7" customHeight="1" x14ac:dyDescent="0.3">
      <c r="A861" s="2"/>
      <c r="B861" s="2"/>
      <c r="C861" s="2"/>
      <c r="D861" s="2"/>
    </row>
    <row r="862" spans="1:4" ht="15.7" customHeight="1" x14ac:dyDescent="0.3">
      <c r="A862" s="2"/>
      <c r="B862" s="2"/>
      <c r="C862" s="2"/>
      <c r="D862" s="2"/>
    </row>
    <row r="863" spans="1:4" ht="15.7" customHeight="1" x14ac:dyDescent="0.3">
      <c r="A863" s="2"/>
      <c r="B863" s="2"/>
      <c r="C863" s="2"/>
      <c r="D863" s="2"/>
    </row>
    <row r="864" spans="1:4" ht="15.7" customHeight="1" x14ac:dyDescent="0.3">
      <c r="A864" s="2"/>
      <c r="B864" s="2"/>
      <c r="C864" s="2"/>
      <c r="D864" s="2"/>
    </row>
    <row r="865" spans="1:4" ht="15.7" customHeight="1" x14ac:dyDescent="0.3">
      <c r="A865" s="2"/>
      <c r="B865" s="2"/>
      <c r="C865" s="2"/>
      <c r="D865" s="2"/>
    </row>
    <row r="866" spans="1:4" ht="15.7" customHeight="1" x14ac:dyDescent="0.3">
      <c r="A866" s="2"/>
      <c r="B866" s="2"/>
      <c r="C866" s="2"/>
      <c r="D866" s="2"/>
    </row>
    <row r="867" spans="1:4" ht="15.7" customHeight="1" x14ac:dyDescent="0.3">
      <c r="A867" s="2"/>
      <c r="B867" s="2"/>
      <c r="C867" s="2"/>
      <c r="D867" s="2"/>
    </row>
    <row r="868" spans="1:4" ht="15.7" customHeight="1" x14ac:dyDescent="0.3">
      <c r="A868" s="2"/>
      <c r="B868" s="2"/>
      <c r="C868" s="2"/>
      <c r="D868" s="2"/>
    </row>
    <row r="869" spans="1:4" ht="15.7" customHeight="1" x14ac:dyDescent="0.3">
      <c r="A869" s="2"/>
      <c r="B869" s="2"/>
      <c r="C869" s="2"/>
      <c r="D869" s="2"/>
    </row>
    <row r="870" spans="1:4" ht="15.7" customHeight="1" x14ac:dyDescent="0.3">
      <c r="A870" s="2"/>
      <c r="B870" s="2"/>
      <c r="C870" s="2"/>
      <c r="D870" s="2"/>
    </row>
    <row r="871" spans="1:4" ht="15.7" customHeight="1" x14ac:dyDescent="0.3">
      <c r="A871" s="2"/>
      <c r="B871" s="2"/>
      <c r="C871" s="2"/>
      <c r="D871" s="2"/>
    </row>
    <row r="872" spans="1:4" ht="15.7" customHeight="1" x14ac:dyDescent="0.3">
      <c r="A872" s="2"/>
      <c r="B872" s="2"/>
      <c r="C872" s="2"/>
      <c r="D872" s="2"/>
    </row>
    <row r="873" spans="1:4" ht="15.7" customHeight="1" x14ac:dyDescent="0.3">
      <c r="A873" s="2"/>
      <c r="B873" s="2"/>
      <c r="C873" s="2"/>
      <c r="D873" s="2"/>
    </row>
    <row r="874" spans="1:4" ht="15.7" customHeight="1" x14ac:dyDescent="0.3">
      <c r="A874" s="2"/>
      <c r="B874" s="2"/>
      <c r="C874" s="2"/>
      <c r="D874" s="2"/>
    </row>
    <row r="875" spans="1:4" ht="15.7" customHeight="1" x14ac:dyDescent="0.3">
      <c r="A875" s="2"/>
      <c r="B875" s="2"/>
      <c r="C875" s="2"/>
      <c r="D875" s="2"/>
    </row>
    <row r="876" spans="1:4" ht="15.7" customHeight="1" x14ac:dyDescent="0.3">
      <c r="A876" s="2"/>
      <c r="B876" s="2"/>
      <c r="C876" s="2"/>
      <c r="D876" s="2"/>
    </row>
    <row r="877" spans="1:4" ht="15.7" customHeight="1" x14ac:dyDescent="0.3">
      <c r="A877" s="2"/>
      <c r="B877" s="2"/>
      <c r="C877" s="2"/>
      <c r="D877" s="2"/>
    </row>
    <row r="878" spans="1:4" ht="15.7" customHeight="1" x14ac:dyDescent="0.3">
      <c r="A878" s="2"/>
      <c r="B878" s="2"/>
      <c r="C878" s="2"/>
      <c r="D878" s="2"/>
    </row>
    <row r="879" spans="1:4" ht="15.7" customHeight="1" x14ac:dyDescent="0.3">
      <c r="A879" s="2"/>
      <c r="B879" s="2"/>
      <c r="C879" s="2"/>
      <c r="D879" s="2"/>
    </row>
    <row r="880" spans="1:4" ht="15.7" customHeight="1" x14ac:dyDescent="0.3">
      <c r="A880" s="2"/>
      <c r="B880" s="2"/>
      <c r="C880" s="2"/>
      <c r="D880" s="2"/>
    </row>
    <row r="881" spans="1:4" ht="15.7" customHeight="1" x14ac:dyDescent="0.3">
      <c r="A881" s="2"/>
      <c r="B881" s="2"/>
      <c r="C881" s="2"/>
      <c r="D881" s="2"/>
    </row>
    <row r="882" spans="1:4" ht="15.7" customHeight="1" x14ac:dyDescent="0.3">
      <c r="A882" s="2"/>
      <c r="B882" s="2"/>
      <c r="C882" s="2"/>
      <c r="D882" s="2"/>
    </row>
    <row r="883" spans="1:4" ht="15.7" customHeight="1" x14ac:dyDescent="0.3">
      <c r="A883" s="2"/>
      <c r="B883" s="2"/>
      <c r="C883" s="2"/>
      <c r="D883" s="2"/>
    </row>
    <row r="884" spans="1:4" ht="15.7" customHeight="1" x14ac:dyDescent="0.3">
      <c r="A884" s="2"/>
      <c r="B884" s="2"/>
      <c r="C884" s="2"/>
      <c r="D884" s="2"/>
    </row>
    <row r="885" spans="1:4" ht="15.7" customHeight="1" x14ac:dyDescent="0.3">
      <c r="A885" s="2"/>
      <c r="B885" s="2"/>
      <c r="C885" s="2"/>
      <c r="D885" s="2"/>
    </row>
    <row r="886" spans="1:4" ht="15.7" customHeight="1" x14ac:dyDescent="0.3">
      <c r="A886" s="2"/>
      <c r="B886" s="2"/>
      <c r="C886" s="2"/>
      <c r="D886" s="2"/>
    </row>
    <row r="887" spans="1:4" ht="15.7" customHeight="1" x14ac:dyDescent="0.3">
      <c r="A887" s="2"/>
      <c r="B887" s="2"/>
      <c r="C887" s="2"/>
      <c r="D887" s="2"/>
    </row>
    <row r="888" spans="1:4" ht="15.7" customHeight="1" x14ac:dyDescent="0.3">
      <c r="A888" s="2"/>
      <c r="B888" s="2"/>
      <c r="C888" s="2"/>
      <c r="D888" s="2"/>
    </row>
    <row r="889" spans="1:4" ht="15.7" customHeight="1" x14ac:dyDescent="0.3">
      <c r="A889" s="2"/>
      <c r="B889" s="2"/>
      <c r="C889" s="2"/>
      <c r="D889" s="2"/>
    </row>
    <row r="890" spans="1:4" ht="15.7" customHeight="1" x14ac:dyDescent="0.3">
      <c r="A890" s="2"/>
      <c r="B890" s="2"/>
      <c r="C890" s="2"/>
      <c r="D890" s="2"/>
    </row>
    <row r="891" spans="1:4" ht="15.7" customHeight="1" x14ac:dyDescent="0.3">
      <c r="A891" s="2"/>
      <c r="B891" s="2"/>
      <c r="C891" s="2"/>
      <c r="D891" s="2"/>
    </row>
    <row r="892" spans="1:4" ht="15.7" customHeight="1" x14ac:dyDescent="0.3">
      <c r="A892" s="2"/>
      <c r="B892" s="2"/>
      <c r="C892" s="2"/>
      <c r="D892" s="2"/>
    </row>
    <row r="893" spans="1:4" ht="15.7" customHeight="1" x14ac:dyDescent="0.3">
      <c r="A893" s="2"/>
      <c r="B893" s="2"/>
      <c r="C893" s="2"/>
      <c r="D893" s="2"/>
    </row>
    <row r="894" spans="1:4" ht="15.7" customHeight="1" x14ac:dyDescent="0.3">
      <c r="A894" s="2"/>
      <c r="B894" s="2"/>
      <c r="C894" s="2"/>
      <c r="D894" s="2"/>
    </row>
    <row r="895" spans="1:4" ht="15.7" customHeight="1" x14ac:dyDescent="0.3">
      <c r="A895" s="2"/>
      <c r="B895" s="2"/>
      <c r="C895" s="2"/>
      <c r="D895" s="2"/>
    </row>
    <row r="896" spans="1:4" ht="15.7" customHeight="1" x14ac:dyDescent="0.3">
      <c r="A896" s="2"/>
      <c r="B896" s="2"/>
      <c r="C896" s="2"/>
      <c r="D896" s="2"/>
    </row>
    <row r="897" spans="1:4" ht="15.7" customHeight="1" x14ac:dyDescent="0.3">
      <c r="A897" s="2"/>
      <c r="B897" s="2"/>
      <c r="C897" s="2"/>
      <c r="D897" s="2"/>
    </row>
    <row r="898" spans="1:4" ht="15.7" customHeight="1" x14ac:dyDescent="0.3">
      <c r="A898" s="2"/>
      <c r="B898" s="2"/>
      <c r="C898" s="2"/>
      <c r="D898" s="2"/>
    </row>
    <row r="899" spans="1:4" ht="15.7" customHeight="1" x14ac:dyDescent="0.3">
      <c r="A899" s="2"/>
      <c r="B899" s="2"/>
      <c r="C899" s="2"/>
      <c r="D899" s="2"/>
    </row>
    <row r="900" spans="1:4" ht="15.7" customHeight="1" x14ac:dyDescent="0.3">
      <c r="A900" s="2"/>
      <c r="B900" s="2"/>
      <c r="C900" s="2"/>
      <c r="D900" s="2"/>
    </row>
    <row r="901" spans="1:4" ht="15.7" customHeight="1" x14ac:dyDescent="0.3">
      <c r="A901" s="2"/>
      <c r="B901" s="2"/>
      <c r="C901" s="2"/>
      <c r="D901" s="2"/>
    </row>
    <row r="902" spans="1:4" ht="15.7" customHeight="1" x14ac:dyDescent="0.3">
      <c r="A902" s="2"/>
      <c r="B902" s="2"/>
      <c r="C902" s="2"/>
      <c r="D902" s="2"/>
    </row>
    <row r="903" spans="1:4" ht="15.7" customHeight="1" x14ac:dyDescent="0.3">
      <c r="A903" s="2"/>
      <c r="B903" s="2"/>
      <c r="C903" s="2"/>
      <c r="D903" s="2"/>
    </row>
    <row r="904" spans="1:4" ht="15.7" customHeight="1" x14ac:dyDescent="0.3">
      <c r="A904" s="2"/>
      <c r="B904" s="2"/>
      <c r="C904" s="2"/>
      <c r="D904" s="2"/>
    </row>
    <row r="905" spans="1:4" ht="15.7" customHeight="1" x14ac:dyDescent="0.3">
      <c r="A905" s="2"/>
      <c r="B905" s="2"/>
      <c r="C905" s="2"/>
      <c r="D905" s="2"/>
    </row>
    <row r="906" spans="1:4" ht="15.7" customHeight="1" x14ac:dyDescent="0.3">
      <c r="A906" s="2"/>
      <c r="B906" s="2"/>
      <c r="C906" s="2"/>
      <c r="D906" s="2"/>
    </row>
    <row r="907" spans="1:4" ht="15.7" customHeight="1" x14ac:dyDescent="0.3">
      <c r="A907" s="2"/>
      <c r="B907" s="2"/>
      <c r="C907" s="2"/>
      <c r="D907" s="2"/>
    </row>
    <row r="908" spans="1:4" ht="15.7" customHeight="1" x14ac:dyDescent="0.3">
      <c r="A908" s="2"/>
      <c r="B908" s="2"/>
      <c r="C908" s="2"/>
      <c r="D908" s="2"/>
    </row>
    <row r="909" spans="1:4" ht="15.7" customHeight="1" x14ac:dyDescent="0.3">
      <c r="A909" s="2"/>
      <c r="B909" s="2"/>
      <c r="C909" s="2"/>
      <c r="D909" s="2"/>
    </row>
    <row r="910" spans="1:4" ht="15.7" customHeight="1" x14ac:dyDescent="0.3">
      <c r="A910" s="2"/>
      <c r="B910" s="2"/>
      <c r="C910" s="2"/>
      <c r="D910" s="2"/>
    </row>
    <row r="911" spans="1:4" ht="15.7" customHeight="1" x14ac:dyDescent="0.3">
      <c r="A911" s="2"/>
      <c r="B911" s="2"/>
      <c r="C911" s="2"/>
      <c r="D911" s="2"/>
    </row>
    <row r="912" spans="1:4" ht="15.7" customHeight="1" x14ac:dyDescent="0.3">
      <c r="A912" s="2"/>
      <c r="B912" s="2"/>
      <c r="C912" s="2"/>
      <c r="D912" s="2"/>
    </row>
    <row r="913" spans="1:4" ht="15.7" customHeight="1" x14ac:dyDescent="0.3">
      <c r="A913" s="2"/>
      <c r="B913" s="2"/>
      <c r="C913" s="2"/>
      <c r="D913" s="2"/>
    </row>
    <row r="914" spans="1:4" ht="15.7" customHeight="1" x14ac:dyDescent="0.3">
      <c r="A914" s="2"/>
      <c r="B914" s="2"/>
      <c r="C914" s="2"/>
      <c r="D914" s="2"/>
    </row>
    <row r="915" spans="1:4" ht="15.7" customHeight="1" x14ac:dyDescent="0.3">
      <c r="A915" s="2"/>
      <c r="B915" s="2"/>
      <c r="C915" s="2"/>
      <c r="D915" s="2"/>
    </row>
    <row r="916" spans="1:4" ht="15.7" customHeight="1" x14ac:dyDescent="0.3">
      <c r="A916" s="2"/>
      <c r="B916" s="2"/>
      <c r="C916" s="2"/>
      <c r="D916" s="2"/>
    </row>
    <row r="917" spans="1:4" ht="15.7" customHeight="1" x14ac:dyDescent="0.3">
      <c r="A917" s="2"/>
      <c r="B917" s="2"/>
      <c r="C917" s="2"/>
      <c r="D917" s="2"/>
    </row>
    <row r="918" spans="1:4" ht="15.7" customHeight="1" x14ac:dyDescent="0.3">
      <c r="A918" s="2"/>
      <c r="B918" s="2"/>
      <c r="C918" s="2"/>
      <c r="D918" s="2"/>
    </row>
    <row r="919" spans="1:4" ht="15.7" customHeight="1" x14ac:dyDescent="0.3">
      <c r="A919" s="2"/>
      <c r="B919" s="2"/>
      <c r="C919" s="2"/>
      <c r="D919" s="2"/>
    </row>
    <row r="920" spans="1:4" ht="15.7" customHeight="1" x14ac:dyDescent="0.3">
      <c r="A920" s="2"/>
      <c r="B920" s="2"/>
      <c r="C920" s="2"/>
      <c r="D920" s="2"/>
    </row>
    <row r="921" spans="1:4" ht="15.7" customHeight="1" x14ac:dyDescent="0.3">
      <c r="A921" s="2"/>
      <c r="B921" s="2"/>
      <c r="C921" s="2"/>
      <c r="D921" s="2"/>
    </row>
    <row r="922" spans="1:4" ht="15.7" customHeight="1" x14ac:dyDescent="0.3">
      <c r="A922" s="2"/>
      <c r="B922" s="2"/>
      <c r="C922" s="2"/>
      <c r="D922" s="2"/>
    </row>
    <row r="923" spans="1:4" ht="15.7" customHeight="1" x14ac:dyDescent="0.3">
      <c r="A923" s="2"/>
      <c r="B923" s="2"/>
      <c r="C923" s="2"/>
      <c r="D923" s="2"/>
    </row>
    <row r="924" spans="1:4" ht="15.7" customHeight="1" x14ac:dyDescent="0.3">
      <c r="A924" s="2"/>
      <c r="B924" s="2"/>
      <c r="C924" s="2"/>
      <c r="D924" s="2"/>
    </row>
    <row r="925" spans="1:4" ht="15.7" customHeight="1" x14ac:dyDescent="0.3">
      <c r="A925" s="2"/>
      <c r="B925" s="2"/>
      <c r="C925" s="2"/>
      <c r="D925" s="2"/>
    </row>
    <row r="926" spans="1:4" ht="15.7" customHeight="1" x14ac:dyDescent="0.3">
      <c r="A926" s="2"/>
      <c r="B926" s="2"/>
      <c r="C926" s="2"/>
      <c r="D926" s="2"/>
    </row>
    <row r="927" spans="1:4" ht="15.7" customHeight="1" x14ac:dyDescent="0.3">
      <c r="A927" s="2"/>
      <c r="B927" s="2"/>
      <c r="C927" s="2"/>
      <c r="D927" s="2"/>
    </row>
    <row r="928" spans="1:4" ht="15.7" customHeight="1" x14ac:dyDescent="0.3">
      <c r="A928" s="2"/>
      <c r="B928" s="2"/>
      <c r="C928" s="2"/>
      <c r="D928" s="2"/>
    </row>
    <row r="929" spans="1:4" ht="15.7" customHeight="1" x14ac:dyDescent="0.3">
      <c r="A929" s="2"/>
      <c r="B929" s="2"/>
      <c r="C929" s="2"/>
      <c r="D929" s="2"/>
    </row>
    <row r="930" spans="1:4" ht="15.7" customHeight="1" x14ac:dyDescent="0.3">
      <c r="A930" s="2"/>
      <c r="B930" s="2"/>
      <c r="C930" s="2"/>
      <c r="D930" s="2"/>
    </row>
    <row r="931" spans="1:4" ht="15.7" customHeight="1" x14ac:dyDescent="0.3">
      <c r="A931" s="2"/>
      <c r="B931" s="2"/>
      <c r="C931" s="2"/>
      <c r="D931" s="2"/>
    </row>
    <row r="932" spans="1:4" ht="15.7" customHeight="1" x14ac:dyDescent="0.3">
      <c r="A932" s="2"/>
      <c r="B932" s="2"/>
      <c r="C932" s="2"/>
      <c r="D932" s="2"/>
    </row>
    <row r="933" spans="1:4" ht="15.7" customHeight="1" x14ac:dyDescent="0.3">
      <c r="A933" s="2"/>
      <c r="B933" s="2"/>
      <c r="C933" s="2"/>
      <c r="D933" s="2"/>
    </row>
    <row r="934" spans="1:4" ht="15.7" customHeight="1" x14ac:dyDescent="0.3">
      <c r="A934" s="2"/>
      <c r="B934" s="2"/>
      <c r="C934" s="2"/>
      <c r="D934" s="2"/>
    </row>
    <row r="935" spans="1:4" ht="15.7" customHeight="1" x14ac:dyDescent="0.3">
      <c r="A935" s="2"/>
      <c r="B935" s="2"/>
      <c r="C935" s="2"/>
      <c r="D935" s="2"/>
    </row>
    <row r="936" spans="1:4" ht="15.7" customHeight="1" x14ac:dyDescent="0.3">
      <c r="A936" s="2"/>
      <c r="B936" s="2"/>
      <c r="C936" s="2"/>
      <c r="D936" s="2"/>
    </row>
    <row r="937" spans="1:4" ht="15.7" customHeight="1" x14ac:dyDescent="0.3">
      <c r="A937" s="2"/>
      <c r="B937" s="2"/>
      <c r="C937" s="2"/>
      <c r="D937" s="2"/>
    </row>
    <row r="938" spans="1:4" ht="15.7" customHeight="1" x14ac:dyDescent="0.3">
      <c r="A938" s="2"/>
      <c r="B938" s="2"/>
      <c r="C938" s="2"/>
      <c r="D938" s="2"/>
    </row>
    <row r="939" spans="1:4" ht="15.7" customHeight="1" x14ac:dyDescent="0.3">
      <c r="A939" s="2"/>
      <c r="B939" s="2"/>
      <c r="C939" s="2"/>
      <c r="D939" s="2"/>
    </row>
    <row r="940" spans="1:4" ht="15.7" customHeight="1" x14ac:dyDescent="0.3">
      <c r="A940" s="2"/>
      <c r="B940" s="2"/>
      <c r="C940" s="2"/>
      <c r="D940" s="2"/>
    </row>
    <row r="941" spans="1:4" ht="15.7" customHeight="1" x14ac:dyDescent="0.3">
      <c r="A941" s="2"/>
      <c r="B941" s="2"/>
      <c r="C941" s="2"/>
      <c r="D941" s="2"/>
    </row>
    <row r="942" spans="1:4" ht="15.7" customHeight="1" x14ac:dyDescent="0.3">
      <c r="A942" s="2"/>
      <c r="B942" s="2"/>
      <c r="C942" s="2"/>
      <c r="D942" s="2"/>
    </row>
    <row r="943" spans="1:4" ht="15.7" customHeight="1" x14ac:dyDescent="0.3">
      <c r="A943" s="2"/>
      <c r="B943" s="2"/>
      <c r="C943" s="2"/>
      <c r="D943" s="2"/>
    </row>
    <row r="944" spans="1:4" ht="15.7" customHeight="1" x14ac:dyDescent="0.3">
      <c r="A944" s="2"/>
      <c r="B944" s="2"/>
      <c r="C944" s="2"/>
      <c r="D944" s="2"/>
    </row>
    <row r="945" spans="1:4" ht="15.7" customHeight="1" x14ac:dyDescent="0.3">
      <c r="A945" s="2"/>
      <c r="B945" s="2"/>
      <c r="C945" s="2"/>
      <c r="D945" s="2"/>
    </row>
    <row r="946" spans="1:4" ht="15.7" customHeight="1" x14ac:dyDescent="0.3">
      <c r="A946" s="2"/>
      <c r="B946" s="2"/>
      <c r="C946" s="2"/>
      <c r="D946" s="2"/>
    </row>
    <row r="947" spans="1:4" ht="15.7" customHeight="1" x14ac:dyDescent="0.3">
      <c r="A947" s="2"/>
      <c r="B947" s="2"/>
      <c r="C947" s="2"/>
      <c r="D947" s="2"/>
    </row>
    <row r="948" spans="1:4" ht="15.7" customHeight="1" x14ac:dyDescent="0.3">
      <c r="A948" s="2"/>
      <c r="B948" s="2"/>
      <c r="C948" s="2"/>
      <c r="D948" s="2"/>
    </row>
    <row r="949" spans="1:4" ht="15.7" customHeight="1" x14ac:dyDescent="0.3">
      <c r="A949" s="2"/>
      <c r="B949" s="2"/>
      <c r="C949" s="2"/>
      <c r="D949" s="2"/>
    </row>
    <row r="950" spans="1:4" ht="15.7" customHeight="1" x14ac:dyDescent="0.3">
      <c r="A950" s="2"/>
      <c r="B950" s="2"/>
      <c r="C950" s="2"/>
      <c r="D950" s="2"/>
    </row>
    <row r="951" spans="1:4" ht="15.7" customHeight="1" x14ac:dyDescent="0.3">
      <c r="A951" s="2"/>
      <c r="B951" s="2"/>
      <c r="C951" s="2"/>
      <c r="D951" s="2"/>
    </row>
    <row r="952" spans="1:4" ht="15.7" customHeight="1" x14ac:dyDescent="0.3">
      <c r="A952" s="2"/>
      <c r="B952" s="2"/>
      <c r="C952" s="2"/>
      <c r="D952" s="2"/>
    </row>
    <row r="953" spans="1:4" ht="15.7" customHeight="1" x14ac:dyDescent="0.3">
      <c r="A953" s="2"/>
      <c r="B953" s="2"/>
      <c r="C953" s="2"/>
      <c r="D953" s="2"/>
    </row>
    <row r="954" spans="1:4" ht="15.7" customHeight="1" x14ac:dyDescent="0.3">
      <c r="A954" s="2"/>
      <c r="B954" s="2"/>
      <c r="C954" s="2"/>
      <c r="D954" s="2"/>
    </row>
    <row r="955" spans="1:4" ht="15.7" customHeight="1" x14ac:dyDescent="0.3">
      <c r="A955" s="2"/>
      <c r="B955" s="2"/>
      <c r="C955" s="2"/>
      <c r="D955" s="2"/>
    </row>
    <row r="956" spans="1:4" ht="15.7" customHeight="1" x14ac:dyDescent="0.3">
      <c r="A956" s="2"/>
      <c r="B956" s="2"/>
      <c r="C956" s="2"/>
      <c r="D956" s="2"/>
    </row>
    <row r="957" spans="1:4" ht="15.7" customHeight="1" x14ac:dyDescent="0.3">
      <c r="A957" s="2"/>
      <c r="B957" s="2"/>
      <c r="C957" s="2"/>
      <c r="D957" s="2"/>
    </row>
    <row r="958" spans="1:4" ht="15.7" customHeight="1" x14ac:dyDescent="0.3">
      <c r="A958" s="2"/>
      <c r="B958" s="2"/>
      <c r="C958" s="2"/>
      <c r="D958" s="2"/>
    </row>
    <row r="959" spans="1:4" ht="15.7" customHeight="1" x14ac:dyDescent="0.3">
      <c r="A959" s="2"/>
      <c r="B959" s="2"/>
      <c r="C959" s="2"/>
      <c r="D959" s="2"/>
    </row>
    <row r="960" spans="1:4" ht="15.7" customHeight="1" x14ac:dyDescent="0.3">
      <c r="A960" s="2"/>
      <c r="B960" s="2"/>
      <c r="C960" s="2"/>
      <c r="D960" s="2"/>
    </row>
    <row r="961" spans="1:4" ht="15.7" customHeight="1" x14ac:dyDescent="0.3">
      <c r="A961" s="2"/>
      <c r="B961" s="2"/>
      <c r="C961" s="2"/>
      <c r="D961" s="2"/>
    </row>
    <row r="962" spans="1:4" ht="15.7" customHeight="1" x14ac:dyDescent="0.3">
      <c r="A962" s="2"/>
      <c r="B962" s="2"/>
      <c r="C962" s="2"/>
      <c r="D962" s="2"/>
    </row>
    <row r="963" spans="1:4" ht="15.7" customHeight="1" x14ac:dyDescent="0.3">
      <c r="A963" s="2"/>
      <c r="B963" s="2"/>
      <c r="C963" s="2"/>
      <c r="D963" s="2"/>
    </row>
    <row r="964" spans="1:4" ht="15.7" customHeight="1" x14ac:dyDescent="0.3">
      <c r="A964" s="2"/>
      <c r="B964" s="2"/>
      <c r="C964" s="2"/>
      <c r="D964" s="2"/>
    </row>
    <row r="965" spans="1:4" ht="15.7" customHeight="1" x14ac:dyDescent="0.3">
      <c r="A965" s="2"/>
      <c r="B965" s="2"/>
      <c r="C965" s="2"/>
      <c r="D965" s="2"/>
    </row>
    <row r="966" spans="1:4" ht="15.7" customHeight="1" x14ac:dyDescent="0.3">
      <c r="A966" s="2"/>
      <c r="B966" s="2"/>
      <c r="C966" s="2"/>
      <c r="D966" s="2"/>
    </row>
    <row r="967" spans="1:4" ht="15.7" customHeight="1" x14ac:dyDescent="0.3">
      <c r="A967" s="2"/>
      <c r="B967" s="2"/>
      <c r="C967" s="2"/>
      <c r="D967" s="2"/>
    </row>
    <row r="968" spans="1:4" ht="15.7" customHeight="1" x14ac:dyDescent="0.3">
      <c r="A968" s="2"/>
      <c r="B968" s="2"/>
      <c r="C968" s="2"/>
      <c r="D968" s="2"/>
    </row>
    <row r="969" spans="1:4" ht="15.7" customHeight="1" x14ac:dyDescent="0.3">
      <c r="A969" s="2"/>
      <c r="B969" s="2"/>
      <c r="C969" s="2"/>
      <c r="D969" s="2"/>
    </row>
    <row r="970" spans="1:4" ht="15.7" customHeight="1" x14ac:dyDescent="0.3">
      <c r="A970" s="2"/>
      <c r="B970" s="2"/>
      <c r="C970" s="2"/>
      <c r="D970" s="2"/>
    </row>
    <row r="971" spans="1:4" ht="15.7" customHeight="1" x14ac:dyDescent="0.3">
      <c r="A971" s="2"/>
      <c r="B971" s="2"/>
      <c r="C971" s="2"/>
      <c r="D971" s="2"/>
    </row>
    <row r="972" spans="1:4" ht="15.7" customHeight="1" x14ac:dyDescent="0.3">
      <c r="A972" s="2"/>
      <c r="B972" s="2"/>
      <c r="C972" s="2"/>
      <c r="D972" s="2"/>
    </row>
    <row r="973" spans="1:4" ht="15.7" customHeight="1" x14ac:dyDescent="0.3">
      <c r="A973" s="2"/>
      <c r="B973" s="2"/>
      <c r="C973" s="2"/>
      <c r="D973" s="2"/>
    </row>
    <row r="974" spans="1:4" ht="15.7" customHeight="1" x14ac:dyDescent="0.3">
      <c r="A974" s="2"/>
      <c r="B974" s="2"/>
      <c r="C974" s="2"/>
      <c r="D974" s="2"/>
    </row>
    <row r="975" spans="1:4" ht="15.7" customHeight="1" x14ac:dyDescent="0.3">
      <c r="A975" s="2"/>
      <c r="B975" s="2"/>
      <c r="C975" s="2"/>
      <c r="D975" s="2"/>
    </row>
    <row r="976" spans="1:4" ht="15.7" customHeight="1" x14ac:dyDescent="0.3">
      <c r="A976" s="2"/>
      <c r="B976" s="2"/>
      <c r="C976" s="2"/>
      <c r="D976" s="2"/>
    </row>
    <row r="977" spans="1:4" ht="15.7" customHeight="1" x14ac:dyDescent="0.3">
      <c r="A977" s="2"/>
      <c r="B977" s="2"/>
      <c r="C977" s="2"/>
      <c r="D977" s="2"/>
    </row>
    <row r="978" spans="1:4" ht="15.7" customHeight="1" x14ac:dyDescent="0.3">
      <c r="A978" s="2"/>
      <c r="B978" s="2"/>
      <c r="C978" s="2"/>
      <c r="D978" s="2"/>
    </row>
    <row r="979" spans="1:4" ht="15.7" customHeight="1" x14ac:dyDescent="0.3">
      <c r="A979" s="2"/>
      <c r="B979" s="2"/>
      <c r="C979" s="2"/>
      <c r="D979" s="2"/>
    </row>
    <row r="980" spans="1:4" ht="15.7" customHeight="1" x14ac:dyDescent="0.3">
      <c r="A980" s="2"/>
      <c r="B980" s="2"/>
      <c r="C980" s="2"/>
      <c r="D980" s="2"/>
    </row>
    <row r="981" spans="1:4" ht="15.7" customHeight="1" x14ac:dyDescent="0.3">
      <c r="A981" s="2"/>
      <c r="B981" s="2"/>
      <c r="C981" s="2"/>
      <c r="D981" s="2"/>
    </row>
    <row r="982" spans="1:4" ht="15.7" customHeight="1" x14ac:dyDescent="0.3">
      <c r="A982" s="2"/>
      <c r="B982" s="2"/>
      <c r="C982" s="2"/>
      <c r="D982" s="2"/>
    </row>
    <row r="983" spans="1:4" ht="15.7" customHeight="1" x14ac:dyDescent="0.3">
      <c r="A983" s="2"/>
      <c r="B983" s="2"/>
      <c r="C983" s="2"/>
      <c r="D983" s="2"/>
    </row>
    <row r="984" spans="1:4" ht="15.7" customHeight="1" x14ac:dyDescent="0.3">
      <c r="A984" s="2"/>
      <c r="B984" s="2"/>
      <c r="C984" s="2"/>
      <c r="D984" s="2"/>
    </row>
    <row r="985" spans="1:4" ht="15.7" customHeight="1" x14ac:dyDescent="0.3">
      <c r="A985" s="2"/>
      <c r="B985" s="2"/>
      <c r="C985" s="2"/>
      <c r="D985" s="2"/>
    </row>
    <row r="986" spans="1:4" ht="15.7" customHeight="1" x14ac:dyDescent="0.3">
      <c r="A986" s="2"/>
      <c r="B986" s="2"/>
      <c r="C986" s="2"/>
      <c r="D986" s="2"/>
    </row>
    <row r="987" spans="1:4" ht="15.7" customHeight="1" x14ac:dyDescent="0.3">
      <c r="A987" s="2"/>
      <c r="B987" s="2"/>
      <c r="C987" s="2"/>
      <c r="D987" s="2"/>
    </row>
    <row r="988" spans="1:4" ht="15.7" customHeight="1" x14ac:dyDescent="0.3">
      <c r="A988" s="2"/>
      <c r="B988" s="2"/>
      <c r="C988" s="2"/>
      <c r="D988" s="2"/>
    </row>
    <row r="989" spans="1:4" ht="15.7" customHeight="1" x14ac:dyDescent="0.3">
      <c r="A989" s="2"/>
      <c r="B989" s="2"/>
      <c r="C989" s="2"/>
      <c r="D989" s="2"/>
    </row>
    <row r="990" spans="1:4" ht="15.7" customHeight="1" x14ac:dyDescent="0.3">
      <c r="A990" s="2"/>
      <c r="B990" s="2"/>
      <c r="C990" s="2"/>
      <c r="D990" s="2"/>
    </row>
    <row r="991" spans="1:4" ht="15.7" customHeight="1" x14ac:dyDescent="0.3">
      <c r="A991" s="2"/>
      <c r="B991" s="2"/>
      <c r="C991" s="2"/>
      <c r="D991" s="2"/>
    </row>
    <row r="992" spans="1:4" ht="15.7" customHeight="1" x14ac:dyDescent="0.3">
      <c r="A992" s="2"/>
      <c r="B992" s="2"/>
      <c r="C992" s="2"/>
      <c r="D992" s="2"/>
    </row>
    <row r="993" spans="1:4" ht="15.7" customHeight="1" x14ac:dyDescent="0.3">
      <c r="A993" s="2"/>
      <c r="B993" s="2"/>
      <c r="C993" s="2"/>
      <c r="D993" s="2"/>
    </row>
    <row r="994" spans="1:4" ht="15.7" customHeight="1" x14ac:dyDescent="0.3">
      <c r="A994" s="2"/>
      <c r="B994" s="2"/>
      <c r="C994" s="2"/>
      <c r="D994" s="2"/>
    </row>
    <row r="995" spans="1:4" ht="15.7" customHeight="1" x14ac:dyDescent="0.3">
      <c r="A995" s="2"/>
      <c r="B995" s="2"/>
      <c r="C995" s="2"/>
      <c r="D995" s="2"/>
    </row>
    <row r="996" spans="1:4" ht="15.7" customHeight="1" x14ac:dyDescent="0.3">
      <c r="A996" s="2"/>
      <c r="B996" s="2"/>
      <c r="C996" s="2"/>
      <c r="D996" s="2"/>
    </row>
    <row r="997" spans="1:4" ht="15.7" customHeight="1" x14ac:dyDescent="0.3">
      <c r="A997" s="2"/>
      <c r="B997" s="2"/>
      <c r="C997" s="2"/>
      <c r="D997" s="2"/>
    </row>
    <row r="998" spans="1:4" ht="15.7" customHeight="1" x14ac:dyDescent="0.3">
      <c r="A998" s="2"/>
      <c r="B998" s="2"/>
      <c r="C998" s="2"/>
      <c r="D998" s="2"/>
    </row>
    <row r="999" spans="1:4" ht="15.7" customHeight="1" x14ac:dyDescent="0.3">
      <c r="A999" s="2"/>
      <c r="B999" s="2"/>
      <c r="C999" s="2"/>
      <c r="D999" s="2"/>
    </row>
    <row r="1000" spans="1:4" ht="15.7" customHeight="1" x14ac:dyDescent="0.3">
      <c r="A1000" s="2"/>
      <c r="B1000" s="2"/>
      <c r="C1000" s="2"/>
      <c r="D1000" s="2"/>
    </row>
  </sheetData>
  <mergeCells count="1">
    <mergeCell ref="A1:F1"/>
  </mergeCell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1000"/>
  <sheetViews>
    <sheetView topLeftCell="Q1" workbookViewId="0">
      <pane ySplit="1" topLeftCell="A2" activePane="bottomLeft" state="frozen"/>
      <selection pane="bottomLeft" activeCell="T2" sqref="T2"/>
    </sheetView>
  </sheetViews>
  <sheetFormatPr defaultColWidth="14.3984375" defaultRowHeight="15" customHeight="1" x14ac:dyDescent="0.3"/>
  <cols>
    <col min="1" max="1" width="11.8984375" bestFit="1" customWidth="1"/>
    <col min="2" max="2" width="31.796875" bestFit="1" customWidth="1"/>
    <col min="3" max="3" width="11.8984375" bestFit="1" customWidth="1"/>
    <col min="4" max="4" width="38.5" bestFit="1" customWidth="1"/>
    <col min="5" max="5" width="48.5" bestFit="1" customWidth="1"/>
    <col min="6" max="6" width="30.59765625" bestFit="1" customWidth="1"/>
    <col min="7" max="7" width="33.296875" bestFit="1" customWidth="1"/>
    <col min="8" max="8" width="14" customWidth="1"/>
    <col min="9" max="9" width="24.09765625" bestFit="1" customWidth="1"/>
    <col min="10" max="12" width="6" bestFit="1" customWidth="1"/>
    <col min="13" max="13" width="10.3984375" bestFit="1" customWidth="1"/>
    <col min="14" max="14" width="11.5" bestFit="1" customWidth="1"/>
    <col min="15" max="21" width="8.5" bestFit="1" customWidth="1"/>
    <col min="22" max="22" width="10.296875" bestFit="1" customWidth="1"/>
    <col min="23" max="23" width="13.8984375" bestFit="1" customWidth="1"/>
    <col min="24" max="24" width="9.59765625" bestFit="1" customWidth="1"/>
    <col min="25" max="25" width="13.09765625" bestFit="1" customWidth="1"/>
    <col min="26" max="26" width="11.69921875" bestFit="1" customWidth="1"/>
    <col min="27" max="27" width="13.796875" bestFit="1" customWidth="1"/>
    <col min="29" max="29" width="11.8984375" bestFit="1" customWidth="1"/>
    <col min="30" max="30" width="31.796875" bestFit="1" customWidth="1"/>
    <col min="31" max="31" width="5.8984375" bestFit="1" customWidth="1"/>
  </cols>
  <sheetData>
    <row r="1" spans="1:31" ht="34.6" customHeight="1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11</v>
      </c>
      <c r="K1" s="1" t="s">
        <v>12</v>
      </c>
      <c r="L1" s="1" t="s">
        <v>13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20</v>
      </c>
      <c r="R1" s="1" t="s">
        <v>21</v>
      </c>
      <c r="S1" s="1" t="s">
        <v>23</v>
      </c>
      <c r="T1" s="1" t="s">
        <v>25</v>
      </c>
      <c r="U1" s="1" t="s">
        <v>27</v>
      </c>
      <c r="V1" s="1" t="s">
        <v>29</v>
      </c>
      <c r="W1" s="1" t="s">
        <v>30</v>
      </c>
      <c r="X1" s="1" t="s">
        <v>32</v>
      </c>
      <c r="Y1" s="2" t="s">
        <v>33</v>
      </c>
      <c r="Z1" s="2" t="s">
        <v>34</v>
      </c>
      <c r="AA1" s="1" t="s">
        <v>1423</v>
      </c>
      <c r="AB1" s="94" t="s">
        <v>1431</v>
      </c>
    </row>
    <row r="2" spans="1:31" ht="15.7" customHeight="1" x14ac:dyDescent="0.4">
      <c r="A2" s="2" t="s">
        <v>35</v>
      </c>
      <c r="B2" s="7" t="s">
        <v>36</v>
      </c>
      <c r="C2" s="2" t="s">
        <v>35</v>
      </c>
      <c r="D2" s="2" t="s">
        <v>39</v>
      </c>
      <c r="E2" s="2" t="s">
        <v>43</v>
      </c>
      <c r="F2" s="2" t="s">
        <v>48</v>
      </c>
      <c r="G2" s="2" t="s">
        <v>51</v>
      </c>
      <c r="H2" s="2" t="s">
        <v>52</v>
      </c>
      <c r="I2" s="7" t="s">
        <v>53</v>
      </c>
      <c r="J2" s="2">
        <v>55</v>
      </c>
      <c r="K2" s="2">
        <v>45</v>
      </c>
      <c r="L2" s="2">
        <v>35</v>
      </c>
      <c r="M2" s="2">
        <f t="shared" ref="M2:M193" si="0">IF(COUNTA(J2:L2)=0,0,SUM(J2:L2))</f>
        <v>135</v>
      </c>
      <c r="N2" s="2">
        <v>6</v>
      </c>
      <c r="O2" s="7" t="s">
        <v>79</v>
      </c>
      <c r="P2" s="7" t="s">
        <v>79</v>
      </c>
      <c r="Q2" s="7" t="s">
        <v>79</v>
      </c>
      <c r="R2" s="7" t="s">
        <v>79</v>
      </c>
      <c r="S2" t="s">
        <v>79</v>
      </c>
      <c r="T2" s="7" t="str" cm="1">
        <f t="array" ref="T2">IF(ISNUMBER(MATCH(TRIM(A2)&amp;"", _xlfn._xlws.FILTER(TRIM(Project_Scores!$D$2:$D$300)&amp;"", Project_Scores!$I$2:$I$300=TRUE, ""), 0)), "حاضر", "غائب")</f>
        <v>غائب</v>
      </c>
      <c r="U2" s="2" t="str">
        <f t="shared" ref="U2:U193" si="1">IF(COUNTA(O2:T2)=0,"0 من 0",COUNTIF(O2:T2,"حاضر")&amp;" من "&amp;COUNTA(O2:T2))</f>
        <v>5 من 6</v>
      </c>
      <c r="V2" s="21">
        <f t="shared" ref="V2:V193" si="2">IF(COUNTA(O2:T2)=0,0,COUNTIF(O2:T2,"حاضر")/COUNTA(O2:T2))</f>
        <v>0.83333333333333337</v>
      </c>
      <c r="W2" s="2">
        <f t="shared" ref="W2:W193" si="3">M2+N2</f>
        <v>141</v>
      </c>
      <c r="X2" s="2">
        <v>181</v>
      </c>
      <c r="Y2" s="2">
        <f t="shared" ref="Y2:Y193" si="4">COUNTIF(O2:T2,"حاضر")</f>
        <v>5</v>
      </c>
      <c r="Z2" s="2">
        <f t="shared" ref="Z2:Z193" si="5">COUNTA(O2:T2)</f>
        <v>6</v>
      </c>
      <c r="AA2">
        <f>COUNTIF(O2:T2,"حاضر")+(COUNTIF(O2:T2,"مستأذن")*0.5)+X2</f>
        <v>186</v>
      </c>
      <c r="AB2" s="95">
        <f>COUNTIF(T:T, "حاضر")</f>
        <v>0</v>
      </c>
      <c r="AC2" s="83" t="s">
        <v>1424</v>
      </c>
      <c r="AD2" s="83"/>
      <c r="AE2" s="83"/>
    </row>
    <row r="3" spans="1:31" ht="15.7" customHeight="1" x14ac:dyDescent="0.4">
      <c r="A3" s="2" t="s">
        <v>103</v>
      </c>
      <c r="B3" s="7" t="s">
        <v>104</v>
      </c>
      <c r="C3" s="2" t="s">
        <v>103</v>
      </c>
      <c r="D3" s="2" t="s">
        <v>105</v>
      </c>
      <c r="E3" s="2" t="s">
        <v>108</v>
      </c>
      <c r="F3" s="2" t="s">
        <v>109</v>
      </c>
      <c r="G3" s="2" t="s">
        <v>111</v>
      </c>
      <c r="H3" s="2" t="s">
        <v>112</v>
      </c>
      <c r="I3" s="7" t="s">
        <v>53</v>
      </c>
      <c r="J3" s="2">
        <v>0</v>
      </c>
      <c r="K3" s="2">
        <v>0</v>
      </c>
      <c r="L3" s="2">
        <v>0</v>
      </c>
      <c r="M3" s="2">
        <f t="shared" si="0"/>
        <v>0</v>
      </c>
      <c r="N3" s="2">
        <v>2</v>
      </c>
      <c r="O3" s="7" t="s">
        <v>113</v>
      </c>
      <c r="P3" s="7" t="s">
        <v>113</v>
      </c>
      <c r="Q3" s="7" t="s">
        <v>113</v>
      </c>
      <c r="R3" s="7" t="s">
        <v>113</v>
      </c>
      <c r="S3" t="s">
        <v>113</v>
      </c>
      <c r="T3" s="7" t="str" cm="1">
        <f t="array" ref="T3">IF(ISNUMBER(MATCH(TRIM(A3)&amp;"", _xlfn._xlws.FILTER(TRIM(Project_Scores!$D$2:$D$300)&amp;"", Project_Scores!$I$2:$I$300=TRUE, ""), 0)), "حاضر", "غائب")</f>
        <v>غائب</v>
      </c>
      <c r="U3" s="2" t="str">
        <f t="shared" si="1"/>
        <v>0 من 6</v>
      </c>
      <c r="V3" s="21">
        <f t="shared" si="2"/>
        <v>0</v>
      </c>
      <c r="W3" s="2">
        <f t="shared" si="3"/>
        <v>2</v>
      </c>
      <c r="X3" s="2">
        <v>2</v>
      </c>
      <c r="Y3" s="2">
        <f t="shared" si="4"/>
        <v>0</v>
      </c>
      <c r="Z3" s="2">
        <f t="shared" si="5"/>
        <v>6</v>
      </c>
      <c r="AA3">
        <f t="shared" ref="AA3:AA66" si="6">COUNTIF(O3:T3,"حاضر")+(COUNTIF(O3:T3,"مستأذن")*0.5)+X3</f>
        <v>2</v>
      </c>
      <c r="AC3" s="83"/>
      <c r="AD3" s="83"/>
      <c r="AE3" s="83"/>
    </row>
    <row r="4" spans="1:31" ht="15.7" customHeight="1" x14ac:dyDescent="0.4">
      <c r="A4" s="2" t="s">
        <v>115</v>
      </c>
      <c r="B4" s="7" t="s">
        <v>116</v>
      </c>
      <c r="C4" s="2" t="s">
        <v>115</v>
      </c>
      <c r="D4" s="2" t="s">
        <v>39</v>
      </c>
      <c r="E4" s="2" t="s">
        <v>118</v>
      </c>
      <c r="F4" s="2" t="s">
        <v>119</v>
      </c>
      <c r="G4" s="2" t="s">
        <v>120</v>
      </c>
      <c r="H4" s="2" t="s">
        <v>121</v>
      </c>
      <c r="I4" s="7" t="s">
        <v>122</v>
      </c>
      <c r="J4" s="2">
        <v>40</v>
      </c>
      <c r="K4" s="2">
        <v>25</v>
      </c>
      <c r="L4" s="2">
        <v>12</v>
      </c>
      <c r="M4" s="2">
        <f t="shared" si="0"/>
        <v>77</v>
      </c>
      <c r="N4" s="2">
        <v>2</v>
      </c>
      <c r="O4" s="7" t="s">
        <v>79</v>
      </c>
      <c r="P4" s="7" t="s">
        <v>79</v>
      </c>
      <c r="Q4" s="7" t="s">
        <v>79</v>
      </c>
      <c r="R4" s="7" t="s">
        <v>79</v>
      </c>
      <c r="S4" t="s">
        <v>79</v>
      </c>
      <c r="T4" s="7" t="str" cm="1">
        <f t="array" ref="T4">IF(ISNUMBER(MATCH(TRIM(A4)&amp;"", _xlfn._xlws.FILTER(TRIM(Project_Scores!$D$2:$D$300)&amp;"", Project_Scores!$I$2:$I$300=TRUE, ""), 0)), "حاضر", "غائب")</f>
        <v>غائب</v>
      </c>
      <c r="U4" s="2" t="str">
        <f t="shared" si="1"/>
        <v>5 من 6</v>
      </c>
      <c r="V4" s="21">
        <f t="shared" si="2"/>
        <v>0.83333333333333337</v>
      </c>
      <c r="W4" s="2">
        <f t="shared" si="3"/>
        <v>79</v>
      </c>
      <c r="X4" s="2">
        <v>119</v>
      </c>
      <c r="Y4" s="2">
        <f t="shared" si="4"/>
        <v>5</v>
      </c>
      <c r="Z4" s="2">
        <f t="shared" si="5"/>
        <v>6</v>
      </c>
      <c r="AA4">
        <f t="shared" si="6"/>
        <v>124</v>
      </c>
      <c r="AC4" t="str" cm="1">
        <f t="array" ref="AC4:AE18">_xlfn.TAKE(_xlfn.SORTBY(_xlfn.HSTACK(A2:B200, AA2:AA200), AA2:AA200, -1), 15)</f>
        <v>2023170234</v>
      </c>
      <c r="AD4" t="str">
        <v>زياد أسامة مصطفى شلبى</v>
      </c>
      <c r="AE4">
        <v>213</v>
      </c>
    </row>
    <row r="5" spans="1:31" ht="15.7" customHeight="1" x14ac:dyDescent="0.4">
      <c r="A5" s="2" t="s">
        <v>125</v>
      </c>
      <c r="B5" s="7" t="s">
        <v>127</v>
      </c>
      <c r="C5" s="2" t="s">
        <v>125</v>
      </c>
      <c r="D5" s="2" t="s">
        <v>39</v>
      </c>
      <c r="E5" s="2" t="s">
        <v>128</v>
      </c>
      <c r="F5" s="2" t="s">
        <v>129</v>
      </c>
      <c r="G5" s="2" t="s">
        <v>130</v>
      </c>
      <c r="H5" s="2" t="s">
        <v>131</v>
      </c>
      <c r="I5" s="7" t="s">
        <v>132</v>
      </c>
      <c r="J5" s="2">
        <v>51</v>
      </c>
      <c r="K5" s="2">
        <v>45</v>
      </c>
      <c r="L5" s="2">
        <v>0</v>
      </c>
      <c r="M5" s="2">
        <f t="shared" si="0"/>
        <v>96</v>
      </c>
      <c r="N5" s="2">
        <v>6</v>
      </c>
      <c r="O5" s="7" t="s">
        <v>79</v>
      </c>
      <c r="P5" s="7" t="s">
        <v>79</v>
      </c>
      <c r="Q5" s="7" t="s">
        <v>79</v>
      </c>
      <c r="R5" s="7" t="s">
        <v>79</v>
      </c>
      <c r="S5" t="s">
        <v>79</v>
      </c>
      <c r="T5" s="7" t="str" cm="1">
        <f t="array" ref="T5">IF(ISNUMBER(MATCH(TRIM(A5)&amp;"", _xlfn._xlws.FILTER(TRIM(Project_Scores!$D$2:$D$300)&amp;"", Project_Scores!$I$2:$I$300=TRUE, ""), 0)), "حاضر", "غائب")</f>
        <v>غائب</v>
      </c>
      <c r="U5" s="2" t="str">
        <f t="shared" si="1"/>
        <v>5 من 6</v>
      </c>
      <c r="V5" s="21">
        <f t="shared" si="2"/>
        <v>0.83333333333333337</v>
      </c>
      <c r="W5" s="2">
        <f t="shared" si="3"/>
        <v>102</v>
      </c>
      <c r="X5" s="2">
        <v>142</v>
      </c>
      <c r="Y5" s="2">
        <f t="shared" si="4"/>
        <v>5</v>
      </c>
      <c r="Z5" s="2">
        <f t="shared" si="5"/>
        <v>6</v>
      </c>
      <c r="AA5">
        <f t="shared" si="6"/>
        <v>147</v>
      </c>
      <c r="AC5" t="str">
        <v>20251701124</v>
      </c>
      <c r="AD5" t="str">
        <v>Aly Mohamed Mounir Aly Zaky Darwish</v>
      </c>
      <c r="AE5">
        <v>212</v>
      </c>
    </row>
    <row r="6" spans="1:31" ht="15.7" customHeight="1" x14ac:dyDescent="0.4">
      <c r="A6" s="2" t="s">
        <v>135</v>
      </c>
      <c r="B6" s="7" t="s">
        <v>136</v>
      </c>
      <c r="C6" s="2" t="s">
        <v>135</v>
      </c>
      <c r="D6" s="2" t="s">
        <v>137</v>
      </c>
      <c r="E6" s="2" t="s">
        <v>138</v>
      </c>
      <c r="F6" s="2" t="s">
        <v>139</v>
      </c>
      <c r="G6" s="2" t="s">
        <v>140</v>
      </c>
      <c r="H6" s="2" t="s">
        <v>141</v>
      </c>
      <c r="I6" s="7" t="s">
        <v>122</v>
      </c>
      <c r="J6" s="2">
        <v>55</v>
      </c>
      <c r="K6" s="2">
        <v>42</v>
      </c>
      <c r="L6" s="2">
        <v>36</v>
      </c>
      <c r="M6" s="2">
        <f t="shared" si="0"/>
        <v>133</v>
      </c>
      <c r="N6" s="2">
        <v>0</v>
      </c>
      <c r="O6" s="7" t="s">
        <v>79</v>
      </c>
      <c r="P6" s="7" t="s">
        <v>79</v>
      </c>
      <c r="Q6" s="7" t="s">
        <v>79</v>
      </c>
      <c r="R6" s="7" t="s">
        <v>79</v>
      </c>
      <c r="S6" t="s">
        <v>79</v>
      </c>
      <c r="T6" s="7" t="str" cm="1">
        <f t="array" ref="T6">IF(ISNUMBER(MATCH(TRIM(A6)&amp;"", _xlfn._xlws.FILTER(TRIM(Project_Scores!$D$2:$D$300)&amp;"", Project_Scores!$I$2:$I$300=TRUE, ""), 0)), "حاضر", "غائب")</f>
        <v>غائب</v>
      </c>
      <c r="U6" s="2" t="str">
        <f t="shared" si="1"/>
        <v>5 من 6</v>
      </c>
      <c r="V6" s="21">
        <f t="shared" si="2"/>
        <v>0.83333333333333337</v>
      </c>
      <c r="W6" s="2">
        <f t="shared" si="3"/>
        <v>133</v>
      </c>
      <c r="X6" s="2">
        <v>173</v>
      </c>
      <c r="Y6" s="2">
        <f t="shared" si="4"/>
        <v>5</v>
      </c>
      <c r="Z6" s="2">
        <f t="shared" si="5"/>
        <v>6</v>
      </c>
      <c r="AA6">
        <f t="shared" si="6"/>
        <v>178</v>
      </c>
      <c r="AC6" t="str">
        <v>20241700341</v>
      </c>
      <c r="AD6" t="str">
        <v>زياد علاء محمد محمد</v>
      </c>
      <c r="AE6">
        <v>201</v>
      </c>
    </row>
    <row r="7" spans="1:31" ht="15.7" customHeight="1" x14ac:dyDescent="0.4">
      <c r="A7" s="2" t="s">
        <v>117</v>
      </c>
      <c r="B7" s="7" t="s">
        <v>114</v>
      </c>
      <c r="C7" s="2" t="s">
        <v>117</v>
      </c>
      <c r="D7" s="2" t="s">
        <v>39</v>
      </c>
      <c r="E7" s="2" t="s">
        <v>146</v>
      </c>
      <c r="F7" s="2" t="s">
        <v>147</v>
      </c>
      <c r="G7" s="2" t="s">
        <v>148</v>
      </c>
      <c r="H7" s="2" t="s">
        <v>149</v>
      </c>
      <c r="I7" s="7" t="s">
        <v>150</v>
      </c>
      <c r="J7" s="2">
        <v>41</v>
      </c>
      <c r="K7" s="2">
        <v>35</v>
      </c>
      <c r="L7" s="2">
        <v>30</v>
      </c>
      <c r="M7" s="2">
        <f t="shared" si="0"/>
        <v>106</v>
      </c>
      <c r="N7" s="2">
        <v>4</v>
      </c>
      <c r="O7" s="7" t="s">
        <v>79</v>
      </c>
      <c r="P7" s="7" t="s">
        <v>79</v>
      </c>
      <c r="Q7" s="7" t="s">
        <v>79</v>
      </c>
      <c r="R7" s="7" t="s">
        <v>79</v>
      </c>
      <c r="S7" t="s">
        <v>79</v>
      </c>
      <c r="T7" s="7" t="str" cm="1">
        <f t="array" ref="T7">IF(ISNUMBER(MATCH(TRIM(A7)&amp;"", _xlfn._xlws.FILTER(TRIM(Project_Scores!$D$2:$D$300)&amp;"", Project_Scores!$I$2:$I$300=TRUE, ""), 0)), "حاضر", "غائب")</f>
        <v>غائب</v>
      </c>
      <c r="U7" s="2" t="str">
        <f t="shared" si="1"/>
        <v>5 من 6</v>
      </c>
      <c r="V7" s="21">
        <f t="shared" si="2"/>
        <v>0.83333333333333337</v>
      </c>
      <c r="W7" s="2">
        <f t="shared" si="3"/>
        <v>110</v>
      </c>
      <c r="X7" s="2">
        <v>150</v>
      </c>
      <c r="Y7" s="2">
        <f t="shared" si="4"/>
        <v>5</v>
      </c>
      <c r="Z7" s="2">
        <f t="shared" si="5"/>
        <v>6</v>
      </c>
      <c r="AA7">
        <f t="shared" si="6"/>
        <v>155</v>
      </c>
      <c r="AC7" t="str">
        <v>20241701173</v>
      </c>
      <c r="AD7" t="str">
        <v>أحمد عصام حسين محمود</v>
      </c>
      <c r="AE7">
        <v>201</v>
      </c>
    </row>
    <row r="8" spans="1:31" ht="15.7" customHeight="1" x14ac:dyDescent="0.4">
      <c r="A8" s="2" t="s">
        <v>145</v>
      </c>
      <c r="B8" s="7" t="s">
        <v>155</v>
      </c>
      <c r="C8" s="2" t="s">
        <v>145</v>
      </c>
      <c r="D8" s="2" t="s">
        <v>39</v>
      </c>
      <c r="E8" s="2" t="s">
        <v>156</v>
      </c>
      <c r="F8" s="2" t="s">
        <v>157</v>
      </c>
      <c r="G8" s="2" t="s">
        <v>158</v>
      </c>
      <c r="H8" s="2" t="s">
        <v>159</v>
      </c>
      <c r="I8" s="7" t="s">
        <v>160</v>
      </c>
      <c r="J8" s="2">
        <v>40</v>
      </c>
      <c r="K8" s="2">
        <v>40</v>
      </c>
      <c r="L8" s="2">
        <v>15</v>
      </c>
      <c r="M8" s="2">
        <f t="shared" si="0"/>
        <v>95</v>
      </c>
      <c r="N8" s="2">
        <v>2</v>
      </c>
      <c r="O8" s="7" t="s">
        <v>79</v>
      </c>
      <c r="P8" s="7" t="s">
        <v>162</v>
      </c>
      <c r="Q8" s="7" t="s">
        <v>79</v>
      </c>
      <c r="R8" s="7" t="s">
        <v>79</v>
      </c>
      <c r="S8" t="s">
        <v>79</v>
      </c>
      <c r="T8" s="7" t="str" cm="1">
        <f t="array" ref="T8">IF(ISNUMBER(MATCH(TRIM(A8)&amp;"", _xlfn._xlws.FILTER(TRIM(Project_Scores!$D$2:$D$300)&amp;"", Project_Scores!$I$2:$I$300=TRUE, ""), 0)), "حاضر", "غائب")</f>
        <v>غائب</v>
      </c>
      <c r="U8" s="2" t="str">
        <f t="shared" si="1"/>
        <v>4 من 6</v>
      </c>
      <c r="V8" s="21">
        <f t="shared" si="2"/>
        <v>0.66666666666666663</v>
      </c>
      <c r="W8" s="2">
        <f t="shared" si="3"/>
        <v>97</v>
      </c>
      <c r="X8" s="2">
        <v>127</v>
      </c>
      <c r="Y8" s="2">
        <f t="shared" si="4"/>
        <v>4</v>
      </c>
      <c r="Z8" s="2">
        <f t="shared" si="5"/>
        <v>6</v>
      </c>
      <c r="AA8">
        <f t="shared" si="6"/>
        <v>131.5</v>
      </c>
      <c r="AC8" t="str">
        <v>20241700920</v>
      </c>
      <c r="AD8" t="str">
        <v>ندى محمود رياض نور الدين محمود</v>
      </c>
      <c r="AE8">
        <v>199</v>
      </c>
    </row>
    <row r="9" spans="1:31" ht="15.7" customHeight="1" x14ac:dyDescent="0.4">
      <c r="A9" s="2" t="s">
        <v>164</v>
      </c>
      <c r="B9" s="7" t="s">
        <v>165</v>
      </c>
      <c r="C9" s="2" t="s">
        <v>164</v>
      </c>
      <c r="D9" s="2" t="s">
        <v>39</v>
      </c>
      <c r="E9" s="2" t="s">
        <v>166</v>
      </c>
      <c r="F9" s="2" t="s">
        <v>167</v>
      </c>
      <c r="G9" s="2" t="s">
        <v>169</v>
      </c>
      <c r="H9" s="2" t="s">
        <v>171</v>
      </c>
      <c r="I9" s="7" t="s">
        <v>150</v>
      </c>
      <c r="J9" s="2">
        <v>0</v>
      </c>
      <c r="K9" s="2">
        <v>0</v>
      </c>
      <c r="L9" s="2">
        <v>0</v>
      </c>
      <c r="M9" s="2">
        <f t="shared" si="0"/>
        <v>0</v>
      </c>
      <c r="N9" s="2">
        <v>0</v>
      </c>
      <c r="O9" s="7" t="s">
        <v>113</v>
      </c>
      <c r="P9" s="7" t="s">
        <v>113</v>
      </c>
      <c r="Q9" s="7" t="s">
        <v>113</v>
      </c>
      <c r="R9" s="7" t="s">
        <v>113</v>
      </c>
      <c r="S9" t="s">
        <v>113</v>
      </c>
      <c r="T9" s="7" t="str" cm="1">
        <f t="array" ref="T9">IF(ISNUMBER(MATCH(TRIM(A9)&amp;"", _xlfn._xlws.FILTER(TRIM(Project_Scores!$D$2:$D$300)&amp;"", Project_Scores!$I$2:$I$300=TRUE, ""), 0)), "حاضر", "غائب")</f>
        <v>غائب</v>
      </c>
      <c r="U9" s="2" t="str">
        <f t="shared" si="1"/>
        <v>0 من 6</v>
      </c>
      <c r="V9" s="21">
        <f t="shared" si="2"/>
        <v>0</v>
      </c>
      <c r="W9" s="2">
        <f t="shared" si="3"/>
        <v>0</v>
      </c>
      <c r="X9" s="2">
        <v>0</v>
      </c>
      <c r="Y9" s="2">
        <f t="shared" si="4"/>
        <v>0</v>
      </c>
      <c r="Z9" s="2">
        <f t="shared" si="5"/>
        <v>6</v>
      </c>
      <c r="AA9">
        <f t="shared" si="6"/>
        <v>0</v>
      </c>
      <c r="AC9" t="str">
        <v>20251700432</v>
      </c>
      <c r="AD9" t="str">
        <v>عبدالله كرم ابوزيد سيف</v>
      </c>
      <c r="AE9">
        <v>196.5</v>
      </c>
    </row>
    <row r="10" spans="1:31" ht="15.7" customHeight="1" x14ac:dyDescent="0.4">
      <c r="A10" s="2" t="s">
        <v>174</v>
      </c>
      <c r="B10" s="7" t="s">
        <v>175</v>
      </c>
      <c r="C10" s="2" t="s">
        <v>174</v>
      </c>
      <c r="D10" s="2" t="s">
        <v>39</v>
      </c>
      <c r="E10" s="2" t="s">
        <v>177</v>
      </c>
      <c r="F10" s="2" t="s">
        <v>179</v>
      </c>
      <c r="G10" s="2" t="s">
        <v>180</v>
      </c>
      <c r="H10" s="2" t="s">
        <v>181</v>
      </c>
      <c r="I10" s="7" t="s">
        <v>122</v>
      </c>
      <c r="J10" s="2">
        <v>0</v>
      </c>
      <c r="K10" s="2">
        <v>0</v>
      </c>
      <c r="L10" s="2">
        <v>0</v>
      </c>
      <c r="M10" s="2">
        <f t="shared" si="0"/>
        <v>0</v>
      </c>
      <c r="N10" s="2">
        <v>0</v>
      </c>
      <c r="O10" s="7" t="s">
        <v>79</v>
      </c>
      <c r="P10" s="7" t="s">
        <v>113</v>
      </c>
      <c r="Q10" s="7" t="s">
        <v>113</v>
      </c>
      <c r="R10" s="7" t="s">
        <v>113</v>
      </c>
      <c r="S10" t="s">
        <v>113</v>
      </c>
      <c r="T10" s="7" t="str" cm="1">
        <f t="array" ref="T10">IF(ISNUMBER(MATCH(TRIM(A10)&amp;"", _xlfn._xlws.FILTER(TRIM(Project_Scores!$D$2:$D$300)&amp;"", Project_Scores!$I$2:$I$300=TRUE, ""), 0)), "حاضر", "غائب")</f>
        <v>غائب</v>
      </c>
      <c r="U10" s="2" t="str">
        <f t="shared" si="1"/>
        <v>1 من 6</v>
      </c>
      <c r="V10" s="21">
        <f t="shared" si="2"/>
        <v>0.16666666666666666</v>
      </c>
      <c r="W10" s="2">
        <f t="shared" si="3"/>
        <v>0</v>
      </c>
      <c r="X10" s="2">
        <v>10</v>
      </c>
      <c r="Y10" s="2">
        <f t="shared" si="4"/>
        <v>1</v>
      </c>
      <c r="Z10" s="2">
        <f t="shared" si="5"/>
        <v>6</v>
      </c>
      <c r="AA10">
        <f t="shared" si="6"/>
        <v>11</v>
      </c>
      <c r="AC10" t="str">
        <v>20231700233</v>
      </c>
      <c r="AD10" t="str">
        <v>علي عمرو محمد عبدالهادي</v>
      </c>
      <c r="AE10">
        <v>191</v>
      </c>
    </row>
    <row r="11" spans="1:31" ht="15.7" customHeight="1" x14ac:dyDescent="0.4">
      <c r="A11" s="2" t="s">
        <v>182</v>
      </c>
      <c r="B11" s="7" t="s">
        <v>183</v>
      </c>
      <c r="C11" s="2" t="s">
        <v>182</v>
      </c>
      <c r="D11" s="2" t="s">
        <v>39</v>
      </c>
      <c r="E11" s="2" t="s">
        <v>186</v>
      </c>
      <c r="F11" s="2" t="s">
        <v>187</v>
      </c>
      <c r="G11" s="2" t="s">
        <v>188</v>
      </c>
      <c r="H11" s="2" t="s">
        <v>189</v>
      </c>
      <c r="I11" s="7" t="s">
        <v>122</v>
      </c>
      <c r="J11" s="2">
        <v>54</v>
      </c>
      <c r="K11" s="2">
        <v>32</v>
      </c>
      <c r="L11" s="2">
        <v>35</v>
      </c>
      <c r="M11" s="2">
        <f t="shared" si="0"/>
        <v>121</v>
      </c>
      <c r="N11" s="2">
        <v>0</v>
      </c>
      <c r="O11" s="7" t="s">
        <v>79</v>
      </c>
      <c r="P11" s="7" t="s">
        <v>79</v>
      </c>
      <c r="Q11" s="7" t="s">
        <v>79</v>
      </c>
      <c r="R11" s="7" t="s">
        <v>79</v>
      </c>
      <c r="S11" t="s">
        <v>79</v>
      </c>
      <c r="T11" s="7" t="str" cm="1">
        <f t="array" ref="T11">IF(ISNUMBER(MATCH(TRIM(A11)&amp;"", _xlfn._xlws.FILTER(TRIM(Project_Scores!$D$2:$D$300)&amp;"", Project_Scores!$I$2:$I$300=TRUE, ""), 0)), "حاضر", "غائب")</f>
        <v>غائب</v>
      </c>
      <c r="U11" s="2" t="str">
        <f t="shared" si="1"/>
        <v>5 من 6</v>
      </c>
      <c r="V11" s="21">
        <f t="shared" si="2"/>
        <v>0.83333333333333337</v>
      </c>
      <c r="W11" s="2">
        <f t="shared" si="3"/>
        <v>121</v>
      </c>
      <c r="X11" s="2">
        <v>161</v>
      </c>
      <c r="Y11" s="2">
        <f t="shared" si="4"/>
        <v>5</v>
      </c>
      <c r="Z11" s="2">
        <f t="shared" si="5"/>
        <v>6</v>
      </c>
      <c r="AA11">
        <f t="shared" si="6"/>
        <v>166</v>
      </c>
      <c r="AC11" t="str">
        <v>20241700935</v>
      </c>
      <c r="AD11" t="str">
        <v>نوران محمد السيد محمد نصر</v>
      </c>
      <c r="AE11">
        <v>190</v>
      </c>
    </row>
    <row r="12" spans="1:31" ht="15.7" customHeight="1" x14ac:dyDescent="0.4">
      <c r="A12" s="2" t="s">
        <v>191</v>
      </c>
      <c r="B12" s="7" t="s">
        <v>192</v>
      </c>
      <c r="C12" s="2" t="s">
        <v>191</v>
      </c>
      <c r="D12" s="2" t="s">
        <v>105</v>
      </c>
      <c r="E12" s="2" t="s">
        <v>195</v>
      </c>
      <c r="F12" s="2" t="s">
        <v>196</v>
      </c>
      <c r="G12" s="2" t="s">
        <v>197</v>
      </c>
      <c r="H12" s="2" t="s">
        <v>198</v>
      </c>
      <c r="I12" s="7" t="s">
        <v>199</v>
      </c>
      <c r="J12" s="2">
        <v>38</v>
      </c>
      <c r="K12" s="2">
        <v>33</v>
      </c>
      <c r="L12" s="2">
        <v>29</v>
      </c>
      <c r="M12" s="2">
        <f t="shared" si="0"/>
        <v>100</v>
      </c>
      <c r="N12" s="2">
        <v>7</v>
      </c>
      <c r="O12" s="7" t="s">
        <v>79</v>
      </c>
      <c r="P12" s="7" t="s">
        <v>79</v>
      </c>
      <c r="Q12" s="7" t="s">
        <v>79</v>
      </c>
      <c r="R12" s="7" t="s">
        <v>79</v>
      </c>
      <c r="S12" t="s">
        <v>79</v>
      </c>
      <c r="T12" s="7" t="str" cm="1">
        <f t="array" ref="T12">IF(ISNUMBER(MATCH(TRIM(A12)&amp;"", _xlfn._xlws.FILTER(TRIM(Project_Scores!$D$2:$D$300)&amp;"", Project_Scores!$I$2:$I$300=TRUE, ""), 0)), "حاضر", "غائب")</f>
        <v>غائب</v>
      </c>
      <c r="U12" s="2" t="str">
        <f t="shared" si="1"/>
        <v>5 من 6</v>
      </c>
      <c r="V12" s="21">
        <f t="shared" si="2"/>
        <v>0.83333333333333337</v>
      </c>
      <c r="W12" s="2">
        <f t="shared" si="3"/>
        <v>107</v>
      </c>
      <c r="X12" s="2">
        <v>147</v>
      </c>
      <c r="Y12" s="2">
        <f t="shared" si="4"/>
        <v>5</v>
      </c>
      <c r="Z12" s="2">
        <f t="shared" si="5"/>
        <v>6</v>
      </c>
      <c r="AA12">
        <f t="shared" si="6"/>
        <v>152</v>
      </c>
      <c r="AC12" t="str">
        <v>20251700957</v>
      </c>
      <c r="AD12" t="str">
        <v>يحيى صلاح الدين عباس السمان</v>
      </c>
      <c r="AE12">
        <v>189</v>
      </c>
    </row>
    <row r="13" spans="1:31" ht="15.7" customHeight="1" x14ac:dyDescent="0.4">
      <c r="A13" s="2" t="s">
        <v>202</v>
      </c>
      <c r="B13" s="7" t="s">
        <v>203</v>
      </c>
      <c r="C13" s="2" t="s">
        <v>202</v>
      </c>
      <c r="D13" s="2" t="s">
        <v>105</v>
      </c>
      <c r="E13" s="2" t="s">
        <v>204</v>
      </c>
      <c r="F13" s="2" t="s">
        <v>205</v>
      </c>
      <c r="G13" s="2" t="s">
        <v>206</v>
      </c>
      <c r="H13" s="2" t="s">
        <v>207</v>
      </c>
      <c r="I13" s="7" t="s">
        <v>208</v>
      </c>
      <c r="J13" s="2">
        <v>54</v>
      </c>
      <c r="K13" s="2">
        <v>32</v>
      </c>
      <c r="L13" s="2">
        <v>28</v>
      </c>
      <c r="M13" s="2">
        <f t="shared" si="0"/>
        <v>114</v>
      </c>
      <c r="N13" s="2">
        <v>4</v>
      </c>
      <c r="O13" s="7" t="s">
        <v>79</v>
      </c>
      <c r="P13" s="7" t="s">
        <v>79</v>
      </c>
      <c r="Q13" s="7" t="s">
        <v>79</v>
      </c>
      <c r="R13" s="7" t="s">
        <v>79</v>
      </c>
      <c r="S13" t="s">
        <v>79</v>
      </c>
      <c r="T13" s="7" t="str" cm="1">
        <f t="array" ref="T13">IF(ISNUMBER(MATCH(TRIM(A13)&amp;"", _xlfn._xlws.FILTER(TRIM(Project_Scores!$D$2:$D$300)&amp;"", Project_Scores!$I$2:$I$300=TRUE, ""), 0)), "حاضر", "غائب")</f>
        <v>غائب</v>
      </c>
      <c r="U13" s="2" t="str">
        <f t="shared" si="1"/>
        <v>5 من 6</v>
      </c>
      <c r="V13" s="21">
        <f t="shared" si="2"/>
        <v>0.83333333333333337</v>
      </c>
      <c r="W13" s="2">
        <f t="shared" si="3"/>
        <v>118</v>
      </c>
      <c r="X13" s="2">
        <v>158</v>
      </c>
      <c r="Y13" s="2">
        <f t="shared" si="4"/>
        <v>5</v>
      </c>
      <c r="Z13" s="2">
        <f t="shared" si="5"/>
        <v>6</v>
      </c>
      <c r="AA13">
        <f t="shared" si="6"/>
        <v>163</v>
      </c>
      <c r="AC13" t="str">
        <v>20241700089</v>
      </c>
      <c r="AD13" t="str">
        <v>آدم محمد عطيتو السيد</v>
      </c>
      <c r="AE13">
        <v>189</v>
      </c>
    </row>
    <row r="14" spans="1:31" ht="15.7" customHeight="1" x14ac:dyDescent="0.4">
      <c r="A14" s="2" t="s">
        <v>211</v>
      </c>
      <c r="B14" s="7" t="s">
        <v>212</v>
      </c>
      <c r="C14" s="2" t="s">
        <v>211</v>
      </c>
      <c r="D14" s="2" t="s">
        <v>39</v>
      </c>
      <c r="E14" s="2" t="s">
        <v>215</v>
      </c>
      <c r="F14" s="2" t="s">
        <v>216</v>
      </c>
      <c r="G14" s="2" t="s">
        <v>217</v>
      </c>
      <c r="H14" s="2" t="s">
        <v>218</v>
      </c>
      <c r="I14" s="7" t="s">
        <v>219</v>
      </c>
      <c r="J14" s="2">
        <v>55</v>
      </c>
      <c r="K14" s="2">
        <v>45</v>
      </c>
      <c r="L14" s="2">
        <v>20</v>
      </c>
      <c r="M14" s="2">
        <f t="shared" si="0"/>
        <v>120</v>
      </c>
      <c r="N14" s="2">
        <v>0</v>
      </c>
      <c r="O14" s="7" t="s">
        <v>113</v>
      </c>
      <c r="P14" s="7" t="s">
        <v>113</v>
      </c>
      <c r="Q14" s="7" t="s">
        <v>79</v>
      </c>
      <c r="R14" s="7" t="s">
        <v>79</v>
      </c>
      <c r="S14" t="s">
        <v>79</v>
      </c>
      <c r="T14" s="7" t="str" cm="1">
        <f t="array" ref="T14">IF(ISNUMBER(MATCH(TRIM(A14)&amp;"", _xlfn._xlws.FILTER(TRIM(Project_Scores!$D$2:$D$300)&amp;"", Project_Scores!$I$2:$I$300=TRUE, ""), 0)), "حاضر", "غائب")</f>
        <v>غائب</v>
      </c>
      <c r="U14" s="2" t="str">
        <f t="shared" si="1"/>
        <v>3 من 6</v>
      </c>
      <c r="V14" s="21">
        <f t="shared" si="2"/>
        <v>0.5</v>
      </c>
      <c r="W14" s="2">
        <f t="shared" si="3"/>
        <v>120</v>
      </c>
      <c r="X14" s="2">
        <v>140</v>
      </c>
      <c r="Y14" s="2">
        <f t="shared" si="4"/>
        <v>3</v>
      </c>
      <c r="Z14" s="2">
        <f t="shared" si="5"/>
        <v>6</v>
      </c>
      <c r="AA14">
        <f t="shared" si="6"/>
        <v>143</v>
      </c>
      <c r="AC14" t="str">
        <v>2023170036</v>
      </c>
      <c r="AD14" t="str">
        <v>احمد سليمان سعد عبدالحميد</v>
      </c>
      <c r="AE14">
        <v>188</v>
      </c>
    </row>
    <row r="15" spans="1:31" ht="15.7" customHeight="1" x14ac:dyDescent="0.4">
      <c r="A15" s="2" t="s">
        <v>224</v>
      </c>
      <c r="B15" s="7" t="s">
        <v>225</v>
      </c>
      <c r="C15" s="2" t="s">
        <v>224</v>
      </c>
      <c r="D15" s="2" t="s">
        <v>39</v>
      </c>
      <c r="E15" s="2" t="s">
        <v>227</v>
      </c>
      <c r="F15" s="2" t="s">
        <v>229</v>
      </c>
      <c r="G15" s="2" t="s">
        <v>231</v>
      </c>
      <c r="H15" s="2" t="s">
        <v>232</v>
      </c>
      <c r="I15" s="7" t="s">
        <v>233</v>
      </c>
      <c r="J15" s="2">
        <v>30</v>
      </c>
      <c r="K15" s="2">
        <v>30</v>
      </c>
      <c r="L15" s="2">
        <v>20</v>
      </c>
      <c r="M15" s="2">
        <f t="shared" si="0"/>
        <v>80</v>
      </c>
      <c r="N15" s="2">
        <v>4</v>
      </c>
      <c r="O15" s="7" t="s">
        <v>79</v>
      </c>
      <c r="P15" s="7" t="s">
        <v>79</v>
      </c>
      <c r="Q15" s="7" t="s">
        <v>79</v>
      </c>
      <c r="R15" s="7" t="s">
        <v>79</v>
      </c>
      <c r="S15" t="s">
        <v>79</v>
      </c>
      <c r="T15" s="7" t="str" cm="1">
        <f t="array" ref="T15">IF(ISNUMBER(MATCH(TRIM(A15)&amp;"", _xlfn._xlws.FILTER(TRIM(Project_Scores!$D$2:$D$300)&amp;"", Project_Scores!$I$2:$I$300=TRUE, ""), 0)), "حاضر", "غائب")</f>
        <v>غائب</v>
      </c>
      <c r="U15" s="2" t="str">
        <f t="shared" si="1"/>
        <v>5 من 6</v>
      </c>
      <c r="V15" s="21">
        <f t="shared" si="2"/>
        <v>0.83333333333333337</v>
      </c>
      <c r="W15" s="2">
        <f t="shared" si="3"/>
        <v>84</v>
      </c>
      <c r="X15" s="2">
        <v>124</v>
      </c>
      <c r="Y15" s="2">
        <f t="shared" si="4"/>
        <v>5</v>
      </c>
      <c r="Z15" s="2">
        <f t="shared" si="5"/>
        <v>6</v>
      </c>
      <c r="AA15">
        <f t="shared" si="6"/>
        <v>129</v>
      </c>
      <c r="AC15" t="str">
        <v>20241701556</v>
      </c>
      <c r="AD15" t="str">
        <v>عامر وحيد هلال فرج</v>
      </c>
      <c r="AE15">
        <v>187.5</v>
      </c>
    </row>
    <row r="16" spans="1:31" ht="15.7" customHeight="1" x14ac:dyDescent="0.4">
      <c r="A16" s="2" t="s">
        <v>297</v>
      </c>
      <c r="B16" s="7" t="s">
        <v>298</v>
      </c>
      <c r="C16" s="2" t="s">
        <v>297</v>
      </c>
      <c r="D16" s="2" t="s">
        <v>105</v>
      </c>
      <c r="E16" s="2" t="s">
        <v>299</v>
      </c>
      <c r="F16" s="2" t="s">
        <v>300</v>
      </c>
      <c r="G16" s="2" t="s">
        <v>302</v>
      </c>
      <c r="H16" s="2" t="s">
        <v>304</v>
      </c>
      <c r="I16" s="7" t="s">
        <v>150</v>
      </c>
      <c r="J16" s="2">
        <v>52</v>
      </c>
      <c r="K16" s="2">
        <v>43</v>
      </c>
      <c r="L16" s="2">
        <v>35</v>
      </c>
      <c r="M16" s="2">
        <f t="shared" si="0"/>
        <v>130</v>
      </c>
      <c r="N16" s="2">
        <v>0</v>
      </c>
      <c r="O16" s="7" t="s">
        <v>79</v>
      </c>
      <c r="P16" s="7" t="s">
        <v>79</v>
      </c>
      <c r="Q16" s="7" t="s">
        <v>79</v>
      </c>
      <c r="R16" s="7" t="s">
        <v>79</v>
      </c>
      <c r="S16" t="s">
        <v>79</v>
      </c>
      <c r="T16" s="7" t="str" cm="1">
        <f t="array" ref="T16">IF(ISNUMBER(MATCH(TRIM(A16)&amp;"", _xlfn._xlws.FILTER(TRIM(Project_Scores!$D$2:$D$300)&amp;"", Project_Scores!$I$2:$I$300=TRUE, ""), 0)), "حاضر", "غائب")</f>
        <v>غائب</v>
      </c>
      <c r="U16" s="2" t="str">
        <f t="shared" si="1"/>
        <v>5 من 6</v>
      </c>
      <c r="V16" s="21">
        <f t="shared" si="2"/>
        <v>0.83333333333333337</v>
      </c>
      <c r="W16" s="2">
        <f t="shared" si="3"/>
        <v>130</v>
      </c>
      <c r="X16" s="2">
        <v>170</v>
      </c>
      <c r="Y16" s="2">
        <f t="shared" si="4"/>
        <v>5</v>
      </c>
      <c r="Z16" s="2">
        <f t="shared" si="5"/>
        <v>6</v>
      </c>
      <c r="AA16">
        <f t="shared" si="6"/>
        <v>175</v>
      </c>
      <c r="AC16" t="str">
        <v>20251700588</v>
      </c>
      <c r="AD16" t="str">
        <v>فيرونيكا امير رفعت جاد</v>
      </c>
      <c r="AE16">
        <v>186</v>
      </c>
    </row>
    <row r="17" spans="1:31" ht="15.7" customHeight="1" x14ac:dyDescent="0.4">
      <c r="A17" s="2" t="s">
        <v>310</v>
      </c>
      <c r="B17" s="7" t="s">
        <v>311</v>
      </c>
      <c r="C17" s="2" t="s">
        <v>310</v>
      </c>
      <c r="D17" s="2" t="s">
        <v>105</v>
      </c>
      <c r="E17" s="2" t="s">
        <v>312</v>
      </c>
      <c r="F17" s="2" t="s">
        <v>313</v>
      </c>
      <c r="G17" s="2" t="s">
        <v>314</v>
      </c>
      <c r="H17" s="2" t="s">
        <v>316</v>
      </c>
      <c r="I17" s="7" t="s">
        <v>132</v>
      </c>
      <c r="J17" s="2">
        <v>40</v>
      </c>
      <c r="K17" s="2">
        <v>25</v>
      </c>
      <c r="L17" s="2">
        <v>15</v>
      </c>
      <c r="M17" s="2">
        <f t="shared" si="0"/>
        <v>80</v>
      </c>
      <c r="N17" s="2">
        <v>2</v>
      </c>
      <c r="O17" s="7" t="s">
        <v>79</v>
      </c>
      <c r="P17" s="7" t="s">
        <v>79</v>
      </c>
      <c r="Q17" s="7" t="s">
        <v>79</v>
      </c>
      <c r="R17" s="7" t="s">
        <v>79</v>
      </c>
      <c r="S17" t="s">
        <v>79</v>
      </c>
      <c r="T17" s="7" t="str" cm="1">
        <f t="array" ref="T17">IF(ISNUMBER(MATCH(TRIM(A17)&amp;"", _xlfn._xlws.FILTER(TRIM(Project_Scores!$D$2:$D$300)&amp;"", Project_Scores!$I$2:$I$300=TRUE, ""), 0)), "حاضر", "غائب")</f>
        <v>غائب</v>
      </c>
      <c r="U17" s="2" t="str">
        <f t="shared" si="1"/>
        <v>5 من 6</v>
      </c>
      <c r="V17" s="21">
        <f t="shared" si="2"/>
        <v>0.83333333333333337</v>
      </c>
      <c r="W17" s="2">
        <f t="shared" si="3"/>
        <v>82</v>
      </c>
      <c r="X17" s="2">
        <v>122</v>
      </c>
      <c r="Y17" s="2">
        <f t="shared" si="4"/>
        <v>5</v>
      </c>
      <c r="Z17" s="2">
        <f t="shared" si="5"/>
        <v>6</v>
      </c>
      <c r="AA17">
        <f t="shared" si="6"/>
        <v>127</v>
      </c>
      <c r="AC17" t="str">
        <v>20241701096</v>
      </c>
      <c r="AD17" t="str">
        <v>عمر احمد خيرت مصطفى</v>
      </c>
      <c r="AE17">
        <v>185</v>
      </c>
    </row>
    <row r="18" spans="1:31" ht="15.7" customHeight="1" x14ac:dyDescent="0.4">
      <c r="A18" s="2" t="s">
        <v>274</v>
      </c>
      <c r="B18" s="7" t="s">
        <v>273</v>
      </c>
      <c r="C18" s="2" t="s">
        <v>274</v>
      </c>
      <c r="D18" s="2" t="s">
        <v>105</v>
      </c>
      <c r="E18" s="2" t="s">
        <v>321</v>
      </c>
      <c r="F18" s="2" t="s">
        <v>322</v>
      </c>
      <c r="G18" s="2" t="s">
        <v>323</v>
      </c>
      <c r="H18" s="2" t="s">
        <v>325</v>
      </c>
      <c r="I18" s="7" t="s">
        <v>199</v>
      </c>
      <c r="J18" s="2">
        <v>52</v>
      </c>
      <c r="K18" s="2">
        <v>29</v>
      </c>
      <c r="L18" s="2">
        <v>35</v>
      </c>
      <c r="M18" s="2">
        <f t="shared" si="0"/>
        <v>116</v>
      </c>
      <c r="N18" s="2">
        <v>2</v>
      </c>
      <c r="O18" s="7" t="s">
        <v>79</v>
      </c>
      <c r="P18" s="7" t="s">
        <v>79</v>
      </c>
      <c r="Q18" s="7" t="s">
        <v>79</v>
      </c>
      <c r="R18" s="7" t="s">
        <v>113</v>
      </c>
      <c r="S18" t="s">
        <v>79</v>
      </c>
      <c r="T18" s="7" t="str" cm="1">
        <f t="array" ref="T18">IF(ISNUMBER(MATCH(TRIM(A18)&amp;"", _xlfn._xlws.FILTER(TRIM(Project_Scores!$D$2:$D$300)&amp;"", Project_Scores!$I$2:$I$300=TRUE, ""), 0)), "حاضر", "غائب")</f>
        <v>غائب</v>
      </c>
      <c r="U18" s="2" t="str">
        <f t="shared" si="1"/>
        <v>4 من 6</v>
      </c>
      <c r="V18" s="21">
        <f t="shared" si="2"/>
        <v>0.66666666666666663</v>
      </c>
      <c r="W18" s="2">
        <f t="shared" si="3"/>
        <v>118</v>
      </c>
      <c r="X18" s="2">
        <v>148</v>
      </c>
      <c r="Y18" s="2">
        <f t="shared" si="4"/>
        <v>4</v>
      </c>
      <c r="Z18" s="2">
        <f t="shared" si="5"/>
        <v>6</v>
      </c>
      <c r="AA18">
        <f t="shared" si="6"/>
        <v>152</v>
      </c>
      <c r="AC18" t="str">
        <v>20241701016</v>
      </c>
      <c r="AD18" t="str">
        <v>يوسف سيد علي علي</v>
      </c>
      <c r="AE18">
        <v>184.5</v>
      </c>
    </row>
    <row r="19" spans="1:31" ht="15.7" customHeight="1" x14ac:dyDescent="0.4">
      <c r="A19" s="2" t="s">
        <v>194</v>
      </c>
      <c r="B19" s="2" t="s">
        <v>331</v>
      </c>
      <c r="C19" s="2" t="s">
        <v>194</v>
      </c>
      <c r="D19" s="2" t="s">
        <v>39</v>
      </c>
      <c r="E19" s="2" t="s">
        <v>332</v>
      </c>
      <c r="F19" s="2" t="s">
        <v>333</v>
      </c>
      <c r="G19" s="2" t="s">
        <v>334</v>
      </c>
      <c r="H19" s="2" t="s">
        <v>335</v>
      </c>
      <c r="I19" s="7" t="s">
        <v>208</v>
      </c>
      <c r="J19" s="2">
        <v>53</v>
      </c>
      <c r="K19" s="2">
        <v>45</v>
      </c>
      <c r="L19" s="2">
        <v>39</v>
      </c>
      <c r="M19" s="2">
        <f t="shared" si="0"/>
        <v>137</v>
      </c>
      <c r="N19" s="2">
        <v>30</v>
      </c>
      <c r="O19" s="7" t="s">
        <v>79</v>
      </c>
      <c r="P19" s="7" t="s">
        <v>79</v>
      </c>
      <c r="Q19" s="7" t="s">
        <v>79</v>
      </c>
      <c r="R19" s="7" t="s">
        <v>79</v>
      </c>
      <c r="S19" t="s">
        <v>79</v>
      </c>
      <c r="T19" s="7" t="str" cm="1">
        <f t="array" ref="T19">IF(ISNUMBER(MATCH(TRIM(A19)&amp;"", _xlfn._xlws.FILTER(TRIM(Project_Scores!$D$2:$D$300)&amp;"", Project_Scores!$I$2:$I$300=TRUE, ""), 0)), "حاضر", "غائب")</f>
        <v>غائب</v>
      </c>
      <c r="U19" s="2" t="str">
        <f t="shared" si="1"/>
        <v>5 من 6</v>
      </c>
      <c r="V19" s="21">
        <f t="shared" si="2"/>
        <v>0.83333333333333337</v>
      </c>
      <c r="W19" s="2">
        <f t="shared" si="3"/>
        <v>167</v>
      </c>
      <c r="X19" s="2">
        <v>207</v>
      </c>
      <c r="Y19" s="2">
        <f t="shared" si="4"/>
        <v>5</v>
      </c>
      <c r="Z19" s="2">
        <f t="shared" si="5"/>
        <v>6</v>
      </c>
      <c r="AA19">
        <f t="shared" si="6"/>
        <v>212</v>
      </c>
    </row>
    <row r="20" spans="1:31" ht="15.7" customHeight="1" x14ac:dyDescent="0.4">
      <c r="A20" s="2" t="s">
        <v>340</v>
      </c>
      <c r="B20" s="7" t="s">
        <v>341</v>
      </c>
      <c r="C20" s="2" t="s">
        <v>340</v>
      </c>
      <c r="D20" s="2" t="s">
        <v>39</v>
      </c>
      <c r="E20" s="2" t="s">
        <v>342</v>
      </c>
      <c r="F20" s="2" t="s">
        <v>343</v>
      </c>
      <c r="G20" s="2" t="s">
        <v>344</v>
      </c>
      <c r="H20" s="2" t="s">
        <v>345</v>
      </c>
      <c r="I20" s="7" t="s">
        <v>346</v>
      </c>
      <c r="J20" s="2">
        <v>55</v>
      </c>
      <c r="K20" s="2">
        <v>35</v>
      </c>
      <c r="L20" s="2">
        <v>0</v>
      </c>
      <c r="M20" s="2">
        <f t="shared" si="0"/>
        <v>90</v>
      </c>
      <c r="N20" s="2">
        <v>0</v>
      </c>
      <c r="O20" s="7" t="s">
        <v>79</v>
      </c>
      <c r="P20" s="7" t="s">
        <v>113</v>
      </c>
      <c r="Q20" s="7" t="s">
        <v>79</v>
      </c>
      <c r="R20" s="7" t="s">
        <v>79</v>
      </c>
      <c r="S20" t="s">
        <v>79</v>
      </c>
      <c r="T20" s="7" t="str" cm="1">
        <f t="array" ref="T20">IF(ISNUMBER(MATCH(TRIM(A20)&amp;"", _xlfn._xlws.FILTER(TRIM(Project_Scores!$D$2:$D$300)&amp;"", Project_Scores!$I$2:$I$300=TRUE, ""), 0)), "حاضر", "غائب")</f>
        <v>غائب</v>
      </c>
      <c r="U20" s="2" t="str">
        <f t="shared" si="1"/>
        <v>4 من 6</v>
      </c>
      <c r="V20" s="21">
        <f t="shared" si="2"/>
        <v>0.66666666666666663</v>
      </c>
      <c r="W20" s="2">
        <f t="shared" si="3"/>
        <v>90</v>
      </c>
      <c r="X20" s="2">
        <v>120</v>
      </c>
      <c r="Y20" s="2">
        <f t="shared" si="4"/>
        <v>4</v>
      </c>
      <c r="Z20" s="2">
        <f t="shared" si="5"/>
        <v>6</v>
      </c>
      <c r="AA20">
        <f t="shared" si="6"/>
        <v>124</v>
      </c>
    </row>
    <row r="21" spans="1:31" ht="15.7" customHeight="1" x14ac:dyDescent="0.4">
      <c r="A21" s="2" t="s">
        <v>350</v>
      </c>
      <c r="B21" s="7" t="s">
        <v>351</v>
      </c>
      <c r="C21" s="2" t="s">
        <v>350</v>
      </c>
      <c r="D21" s="2" t="s">
        <v>105</v>
      </c>
      <c r="E21" s="2" t="s">
        <v>353</v>
      </c>
      <c r="F21" s="2" t="s">
        <v>355</v>
      </c>
      <c r="G21" s="2" t="s">
        <v>356</v>
      </c>
      <c r="H21" s="2" t="s">
        <v>357</v>
      </c>
      <c r="I21" s="7" t="s">
        <v>219</v>
      </c>
      <c r="J21" s="2">
        <v>55</v>
      </c>
      <c r="K21" s="2">
        <v>45</v>
      </c>
      <c r="L21" s="2">
        <v>38</v>
      </c>
      <c r="M21" s="2">
        <f t="shared" si="0"/>
        <v>138</v>
      </c>
      <c r="N21" s="2">
        <v>0</v>
      </c>
      <c r="O21" s="7" t="s">
        <v>79</v>
      </c>
      <c r="P21" s="7" t="s">
        <v>79</v>
      </c>
      <c r="Q21" s="7" t="s">
        <v>79</v>
      </c>
      <c r="R21" s="7" t="s">
        <v>79</v>
      </c>
      <c r="S21" t="s">
        <v>79</v>
      </c>
      <c r="T21" s="7" t="str" cm="1">
        <f t="array" ref="T21">IF(ISNUMBER(MATCH(TRIM(A21)&amp;"", _xlfn._xlws.FILTER(TRIM(Project_Scores!$D$2:$D$300)&amp;"", Project_Scores!$I$2:$I$300=TRUE, ""), 0)), "حاضر", "غائب")</f>
        <v>غائب</v>
      </c>
      <c r="U21" s="2" t="str">
        <f t="shared" si="1"/>
        <v>5 من 6</v>
      </c>
      <c r="V21" s="21">
        <f t="shared" si="2"/>
        <v>0.83333333333333337</v>
      </c>
      <c r="W21" s="2">
        <f t="shared" si="3"/>
        <v>138</v>
      </c>
      <c r="X21" s="2">
        <v>178</v>
      </c>
      <c r="Y21" s="2">
        <f t="shared" si="4"/>
        <v>5</v>
      </c>
      <c r="Z21" s="2">
        <f t="shared" si="5"/>
        <v>6</v>
      </c>
      <c r="AA21">
        <f t="shared" si="6"/>
        <v>183</v>
      </c>
    </row>
    <row r="22" spans="1:31" ht="15.7" customHeight="1" x14ac:dyDescent="0.4">
      <c r="A22" s="2" t="s">
        <v>364</v>
      </c>
      <c r="B22" s="7" t="s">
        <v>365</v>
      </c>
      <c r="C22" s="2" t="s">
        <v>364</v>
      </c>
      <c r="D22" s="2" t="s">
        <v>105</v>
      </c>
      <c r="E22" s="2" t="s">
        <v>366</v>
      </c>
      <c r="F22" s="2" t="s">
        <v>367</v>
      </c>
      <c r="G22" s="2" t="s">
        <v>368</v>
      </c>
      <c r="H22" s="2" t="s">
        <v>369</v>
      </c>
      <c r="I22" s="7" t="s">
        <v>132</v>
      </c>
      <c r="J22" s="2">
        <v>39</v>
      </c>
      <c r="K22" s="2">
        <v>40</v>
      </c>
      <c r="L22" s="2">
        <v>15</v>
      </c>
      <c r="M22" s="2">
        <f t="shared" si="0"/>
        <v>94</v>
      </c>
      <c r="N22" s="2">
        <v>1</v>
      </c>
      <c r="O22" s="7" t="s">
        <v>79</v>
      </c>
      <c r="P22" s="7" t="s">
        <v>79</v>
      </c>
      <c r="Q22" s="7" t="s">
        <v>79</v>
      </c>
      <c r="R22" s="7" t="s">
        <v>79</v>
      </c>
      <c r="S22" t="s">
        <v>79</v>
      </c>
      <c r="T22" s="7" t="str" cm="1">
        <f t="array" ref="T22">IF(ISNUMBER(MATCH(TRIM(A22)&amp;"", _xlfn._xlws.FILTER(TRIM(Project_Scores!$D$2:$D$300)&amp;"", Project_Scores!$I$2:$I$300=TRUE, ""), 0)), "حاضر", "غائب")</f>
        <v>غائب</v>
      </c>
      <c r="U22" s="2" t="str">
        <f t="shared" si="1"/>
        <v>5 من 6</v>
      </c>
      <c r="V22" s="21">
        <f t="shared" si="2"/>
        <v>0.83333333333333337</v>
      </c>
      <c r="W22" s="2">
        <f t="shared" si="3"/>
        <v>95</v>
      </c>
      <c r="X22" s="2">
        <v>135</v>
      </c>
      <c r="Y22" s="2">
        <f t="shared" si="4"/>
        <v>5</v>
      </c>
      <c r="Z22" s="2">
        <f t="shared" si="5"/>
        <v>6</v>
      </c>
      <c r="AA22">
        <f t="shared" si="6"/>
        <v>140</v>
      </c>
    </row>
    <row r="23" spans="1:31" ht="15.7" customHeight="1" x14ac:dyDescent="0.4">
      <c r="A23" s="2" t="s">
        <v>280</v>
      </c>
      <c r="B23" s="7" t="s">
        <v>377</v>
      </c>
      <c r="C23" s="2" t="s">
        <v>280</v>
      </c>
      <c r="D23" s="2" t="s">
        <v>105</v>
      </c>
      <c r="E23" s="2" t="s">
        <v>378</v>
      </c>
      <c r="F23" s="2" t="s">
        <v>379</v>
      </c>
      <c r="G23" s="2" t="s">
        <v>380</v>
      </c>
      <c r="H23" s="2" t="s">
        <v>381</v>
      </c>
      <c r="I23" s="7" t="s">
        <v>199</v>
      </c>
      <c r="J23" s="2">
        <v>55</v>
      </c>
      <c r="K23" s="2">
        <v>37</v>
      </c>
      <c r="L23" s="2">
        <v>35</v>
      </c>
      <c r="M23" s="2">
        <f t="shared" si="0"/>
        <v>127</v>
      </c>
      <c r="N23" s="2">
        <v>3</v>
      </c>
      <c r="O23" s="7" t="s">
        <v>79</v>
      </c>
      <c r="P23" s="7" t="s">
        <v>79</v>
      </c>
      <c r="Q23" s="7" t="s">
        <v>79</v>
      </c>
      <c r="R23" s="7" t="s">
        <v>162</v>
      </c>
      <c r="S23" t="s">
        <v>79</v>
      </c>
      <c r="T23" s="7" t="str" cm="1">
        <f t="array" ref="T23">IF(ISNUMBER(MATCH(TRIM(A23)&amp;"", _xlfn._xlws.FILTER(TRIM(Project_Scores!$D$2:$D$300)&amp;"", Project_Scores!$I$2:$I$300=TRUE, ""), 0)), "حاضر", "غائب")</f>
        <v>غائب</v>
      </c>
      <c r="U23" s="2" t="str">
        <f t="shared" si="1"/>
        <v>4 من 6</v>
      </c>
      <c r="V23" s="21">
        <f t="shared" si="2"/>
        <v>0.66666666666666663</v>
      </c>
      <c r="W23" s="2">
        <f t="shared" si="3"/>
        <v>130</v>
      </c>
      <c r="X23" s="2">
        <v>160</v>
      </c>
      <c r="Y23" s="2">
        <f t="shared" si="4"/>
        <v>4</v>
      </c>
      <c r="Z23" s="2">
        <f t="shared" si="5"/>
        <v>6</v>
      </c>
      <c r="AA23">
        <f t="shared" si="6"/>
        <v>164.5</v>
      </c>
    </row>
    <row r="24" spans="1:31" ht="15.7" customHeight="1" x14ac:dyDescent="0.4">
      <c r="A24" s="2" t="s">
        <v>384</v>
      </c>
      <c r="B24" s="7" t="s">
        <v>385</v>
      </c>
      <c r="C24" s="2" t="s">
        <v>384</v>
      </c>
      <c r="D24" s="2" t="s">
        <v>105</v>
      </c>
      <c r="E24" s="2" t="s">
        <v>388</v>
      </c>
      <c r="F24" s="2" t="s">
        <v>389</v>
      </c>
      <c r="G24" s="2" t="s">
        <v>390</v>
      </c>
      <c r="H24" s="2" t="s">
        <v>391</v>
      </c>
      <c r="I24" s="7" t="s">
        <v>219</v>
      </c>
      <c r="J24" s="2">
        <v>55</v>
      </c>
      <c r="K24" s="2">
        <v>38</v>
      </c>
      <c r="L24" s="2">
        <v>25</v>
      </c>
      <c r="M24" s="2">
        <f t="shared" si="0"/>
        <v>118</v>
      </c>
      <c r="N24" s="2">
        <v>0</v>
      </c>
      <c r="O24" s="7" t="s">
        <v>79</v>
      </c>
      <c r="P24" s="7" t="s">
        <v>79</v>
      </c>
      <c r="Q24" s="7" t="s">
        <v>79</v>
      </c>
      <c r="R24" s="7" t="s">
        <v>79</v>
      </c>
      <c r="S24" t="s">
        <v>79</v>
      </c>
      <c r="T24" s="7" t="str" cm="1">
        <f t="array" ref="T24">IF(ISNUMBER(MATCH(TRIM(A24)&amp;"", _xlfn._xlws.FILTER(TRIM(Project_Scores!$D$2:$D$300)&amp;"", Project_Scores!$I$2:$I$300=TRUE, ""), 0)), "حاضر", "غائب")</f>
        <v>غائب</v>
      </c>
      <c r="U24" s="2" t="str">
        <f t="shared" si="1"/>
        <v>5 من 6</v>
      </c>
      <c r="V24" s="21">
        <f t="shared" si="2"/>
        <v>0.83333333333333337</v>
      </c>
      <c r="W24" s="2">
        <f t="shared" si="3"/>
        <v>118</v>
      </c>
      <c r="X24" s="2">
        <v>158</v>
      </c>
      <c r="Y24" s="2">
        <f t="shared" si="4"/>
        <v>5</v>
      </c>
      <c r="Z24" s="2">
        <f t="shared" si="5"/>
        <v>6</v>
      </c>
      <c r="AA24">
        <f t="shared" si="6"/>
        <v>163</v>
      </c>
    </row>
    <row r="25" spans="1:31" ht="15.7" customHeight="1" x14ac:dyDescent="0.4">
      <c r="A25" s="2" t="s">
        <v>397</v>
      </c>
      <c r="B25" s="7" t="s">
        <v>398</v>
      </c>
      <c r="C25" s="2" t="s">
        <v>397</v>
      </c>
      <c r="D25" s="2" t="s">
        <v>105</v>
      </c>
      <c r="E25" s="2" t="s">
        <v>399</v>
      </c>
      <c r="F25" s="2" t="s">
        <v>401</v>
      </c>
      <c r="G25" s="2" t="s">
        <v>402</v>
      </c>
      <c r="H25" s="2" t="s">
        <v>403</v>
      </c>
      <c r="I25" s="7" t="s">
        <v>132</v>
      </c>
      <c r="J25" s="2">
        <v>40</v>
      </c>
      <c r="K25" s="2">
        <v>40</v>
      </c>
      <c r="L25" s="2">
        <v>15</v>
      </c>
      <c r="M25" s="2">
        <f t="shared" si="0"/>
        <v>95</v>
      </c>
      <c r="N25" s="2">
        <v>0</v>
      </c>
      <c r="O25" s="7" t="s">
        <v>79</v>
      </c>
      <c r="P25" s="7" t="s">
        <v>79</v>
      </c>
      <c r="Q25" s="7" t="s">
        <v>79</v>
      </c>
      <c r="R25" s="7" t="s">
        <v>113</v>
      </c>
      <c r="S25" t="s">
        <v>79</v>
      </c>
      <c r="T25" s="7" t="str" cm="1">
        <f t="array" ref="T25">IF(ISNUMBER(MATCH(TRIM(A25)&amp;"", _xlfn._xlws.FILTER(TRIM(Project_Scores!$D$2:$D$300)&amp;"", Project_Scores!$I$2:$I$300=TRUE, ""), 0)), "حاضر", "غائب")</f>
        <v>غائب</v>
      </c>
      <c r="U25" s="2" t="str">
        <f t="shared" si="1"/>
        <v>4 من 6</v>
      </c>
      <c r="V25" s="21">
        <f t="shared" si="2"/>
        <v>0.66666666666666663</v>
      </c>
      <c r="W25" s="2">
        <f t="shared" si="3"/>
        <v>95</v>
      </c>
      <c r="X25" s="2">
        <v>125</v>
      </c>
      <c r="Y25" s="2">
        <f t="shared" si="4"/>
        <v>4</v>
      </c>
      <c r="Z25" s="2">
        <f t="shared" si="5"/>
        <v>6</v>
      </c>
      <c r="AA25">
        <f t="shared" si="6"/>
        <v>129</v>
      </c>
    </row>
    <row r="26" spans="1:31" ht="15.7" customHeight="1" x14ac:dyDescent="0.4">
      <c r="A26" s="2" t="s">
        <v>185</v>
      </c>
      <c r="B26" s="7" t="s">
        <v>184</v>
      </c>
      <c r="C26" s="2" t="s">
        <v>185</v>
      </c>
      <c r="D26" s="2" t="s">
        <v>39</v>
      </c>
      <c r="E26" s="2" t="s">
        <v>410</v>
      </c>
      <c r="F26" s="2" t="s">
        <v>376</v>
      </c>
      <c r="G26" s="2" t="s">
        <v>411</v>
      </c>
      <c r="H26" s="2" t="s">
        <v>375</v>
      </c>
      <c r="I26" s="7" t="s">
        <v>346</v>
      </c>
      <c r="J26" s="2">
        <v>55</v>
      </c>
      <c r="K26" s="2">
        <v>32.5</v>
      </c>
      <c r="L26" s="2">
        <v>0</v>
      </c>
      <c r="M26" s="2">
        <f t="shared" si="0"/>
        <v>87.5</v>
      </c>
      <c r="N26" s="2">
        <v>0</v>
      </c>
      <c r="O26" s="7" t="s">
        <v>79</v>
      </c>
      <c r="P26" s="7" t="s">
        <v>79</v>
      </c>
      <c r="Q26" s="7" t="s">
        <v>79</v>
      </c>
      <c r="R26" s="7" t="s">
        <v>79</v>
      </c>
      <c r="S26" t="s">
        <v>79</v>
      </c>
      <c r="T26" s="7" t="str" cm="1">
        <f t="array" ref="T26">IF(ISNUMBER(MATCH(TRIM(A26)&amp;"", _xlfn._xlws.FILTER(TRIM(Project_Scores!$D$2:$D$300)&amp;"", Project_Scores!$I$2:$I$300=TRUE, ""), 0)), "حاضر", "غائب")</f>
        <v>غائب</v>
      </c>
      <c r="U26" s="2" t="str">
        <f t="shared" si="1"/>
        <v>5 من 6</v>
      </c>
      <c r="V26" s="21">
        <f t="shared" si="2"/>
        <v>0.83333333333333337</v>
      </c>
      <c r="W26" s="2">
        <f t="shared" si="3"/>
        <v>87.5</v>
      </c>
      <c r="X26" s="2">
        <v>127.5</v>
      </c>
      <c r="Y26" s="2">
        <f t="shared" si="4"/>
        <v>5</v>
      </c>
      <c r="Z26" s="2">
        <f t="shared" si="5"/>
        <v>6</v>
      </c>
      <c r="AA26">
        <f t="shared" si="6"/>
        <v>132.5</v>
      </c>
    </row>
    <row r="27" spans="1:31" ht="15.7" customHeight="1" x14ac:dyDescent="0.4">
      <c r="A27" s="2" t="s">
        <v>415</v>
      </c>
      <c r="B27" s="7" t="s">
        <v>416</v>
      </c>
      <c r="C27" s="2" t="s">
        <v>415</v>
      </c>
      <c r="D27" s="2" t="s">
        <v>137</v>
      </c>
      <c r="E27" s="2" t="s">
        <v>417</v>
      </c>
      <c r="F27" s="2" t="s">
        <v>418</v>
      </c>
      <c r="G27" s="2" t="s">
        <v>419</v>
      </c>
      <c r="H27" s="2" t="s">
        <v>420</v>
      </c>
      <c r="I27" s="7" t="s">
        <v>233</v>
      </c>
      <c r="J27" s="2">
        <v>50</v>
      </c>
      <c r="K27" s="2">
        <v>30</v>
      </c>
      <c r="L27" s="2">
        <v>20</v>
      </c>
      <c r="M27" s="2">
        <f t="shared" si="0"/>
        <v>100</v>
      </c>
      <c r="N27" s="2">
        <v>8</v>
      </c>
      <c r="O27" s="7" t="s">
        <v>79</v>
      </c>
      <c r="P27" s="7" t="s">
        <v>79</v>
      </c>
      <c r="Q27" s="7" t="s">
        <v>79</v>
      </c>
      <c r="R27" s="7" t="s">
        <v>79</v>
      </c>
      <c r="S27" t="s">
        <v>113</v>
      </c>
      <c r="T27" s="7" t="str" cm="1">
        <f t="array" ref="T27">IF(ISNUMBER(MATCH(TRIM(A27)&amp;"", _xlfn._xlws.FILTER(TRIM(Project_Scores!$D$2:$D$300)&amp;"", Project_Scores!$I$2:$I$300=TRUE, ""), 0)), "حاضر", "غائب")</f>
        <v>غائب</v>
      </c>
      <c r="U27" s="2" t="str">
        <f t="shared" si="1"/>
        <v>4 من 6</v>
      </c>
      <c r="V27" s="21">
        <f t="shared" si="2"/>
        <v>0.66666666666666663</v>
      </c>
      <c r="W27" s="2">
        <f t="shared" si="3"/>
        <v>108</v>
      </c>
      <c r="X27" s="2">
        <v>148</v>
      </c>
      <c r="Y27" s="2">
        <f t="shared" si="4"/>
        <v>4</v>
      </c>
      <c r="Z27" s="2">
        <f t="shared" si="5"/>
        <v>6</v>
      </c>
      <c r="AA27">
        <f t="shared" si="6"/>
        <v>152</v>
      </c>
    </row>
    <row r="28" spans="1:31" ht="15.7" customHeight="1" x14ac:dyDescent="0.4">
      <c r="A28" s="2" t="s">
        <v>254</v>
      </c>
      <c r="B28" s="7" t="s">
        <v>423</v>
      </c>
      <c r="C28" s="2" t="s">
        <v>254</v>
      </c>
      <c r="D28" s="2" t="s">
        <v>105</v>
      </c>
      <c r="E28" s="2" t="s">
        <v>425</v>
      </c>
      <c r="F28" s="2" t="s">
        <v>427</v>
      </c>
      <c r="G28" s="2" t="s">
        <v>428</v>
      </c>
      <c r="H28" s="2" t="s">
        <v>429</v>
      </c>
      <c r="I28" s="7" t="s">
        <v>430</v>
      </c>
      <c r="J28" s="2">
        <v>40</v>
      </c>
      <c r="K28" s="2">
        <v>25</v>
      </c>
      <c r="L28" s="2">
        <v>17</v>
      </c>
      <c r="M28" s="2">
        <f t="shared" si="0"/>
        <v>82</v>
      </c>
      <c r="N28" s="2">
        <v>0</v>
      </c>
      <c r="O28" s="7" t="s">
        <v>113</v>
      </c>
      <c r="P28" s="7" t="s">
        <v>79</v>
      </c>
      <c r="Q28" s="7" t="s">
        <v>79</v>
      </c>
      <c r="R28" s="7" t="s">
        <v>79</v>
      </c>
      <c r="S28" t="s">
        <v>79</v>
      </c>
      <c r="T28" s="7" t="str" cm="1">
        <f t="array" ref="T28">IF(ISNUMBER(MATCH(TRIM(A28)&amp;"", _xlfn._xlws.FILTER(TRIM(Project_Scores!$D$2:$D$300)&amp;"", Project_Scores!$I$2:$I$300=TRUE, ""), 0)), "حاضر", "غائب")</f>
        <v>غائب</v>
      </c>
      <c r="U28" s="2" t="str">
        <f t="shared" si="1"/>
        <v>4 من 6</v>
      </c>
      <c r="V28" s="21">
        <f t="shared" si="2"/>
        <v>0.66666666666666663</v>
      </c>
      <c r="W28" s="2">
        <f t="shared" si="3"/>
        <v>82</v>
      </c>
      <c r="X28" s="2">
        <v>112</v>
      </c>
      <c r="Y28" s="2">
        <f t="shared" si="4"/>
        <v>4</v>
      </c>
      <c r="Z28" s="2">
        <f t="shared" si="5"/>
        <v>6</v>
      </c>
      <c r="AA28">
        <f t="shared" si="6"/>
        <v>116</v>
      </c>
    </row>
    <row r="29" spans="1:31" ht="15.7" customHeight="1" x14ac:dyDescent="0.4">
      <c r="A29" s="2" t="s">
        <v>201</v>
      </c>
      <c r="B29" s="7" t="s">
        <v>200</v>
      </c>
      <c r="C29" s="2" t="s">
        <v>201</v>
      </c>
      <c r="D29" s="2" t="s">
        <v>39</v>
      </c>
      <c r="E29" s="2" t="s">
        <v>433</v>
      </c>
      <c r="F29" s="2" t="s">
        <v>407</v>
      </c>
      <c r="G29" s="2" t="s">
        <v>435</v>
      </c>
      <c r="H29" s="2" t="s">
        <v>406</v>
      </c>
      <c r="I29" s="7" t="s">
        <v>160</v>
      </c>
      <c r="J29" s="2">
        <v>50.5</v>
      </c>
      <c r="K29" s="2">
        <v>37</v>
      </c>
      <c r="L29" s="2">
        <v>35</v>
      </c>
      <c r="M29" s="2">
        <f t="shared" si="0"/>
        <v>122.5</v>
      </c>
      <c r="N29" s="2">
        <v>29</v>
      </c>
      <c r="O29" s="7" t="s">
        <v>79</v>
      </c>
      <c r="P29" s="7" t="s">
        <v>79</v>
      </c>
      <c r="Q29" s="7" t="s">
        <v>79</v>
      </c>
      <c r="R29" s="7" t="s">
        <v>79</v>
      </c>
      <c r="S29" t="s">
        <v>79</v>
      </c>
      <c r="T29" s="7" t="str" cm="1">
        <f t="array" ref="T29">IF(ISNUMBER(MATCH(TRIM(A29)&amp;"", _xlfn._xlws.FILTER(TRIM(Project_Scores!$D$2:$D$300)&amp;"", Project_Scores!$I$2:$I$300=TRUE, ""), 0)), "حاضر", "غائب")</f>
        <v>غائب</v>
      </c>
      <c r="U29" s="2" t="str">
        <f t="shared" si="1"/>
        <v>5 من 6</v>
      </c>
      <c r="V29" s="21">
        <f t="shared" si="2"/>
        <v>0.83333333333333337</v>
      </c>
      <c r="W29" s="2">
        <f t="shared" si="3"/>
        <v>151.5</v>
      </c>
      <c r="X29" s="2">
        <v>191.5</v>
      </c>
      <c r="Y29" s="2">
        <f t="shared" si="4"/>
        <v>5</v>
      </c>
      <c r="Z29" s="2">
        <f t="shared" si="5"/>
        <v>6</v>
      </c>
      <c r="AA29">
        <f t="shared" si="6"/>
        <v>196.5</v>
      </c>
    </row>
    <row r="30" spans="1:31" ht="15.7" customHeight="1" x14ac:dyDescent="0.4">
      <c r="A30" s="2" t="s">
        <v>443</v>
      </c>
      <c r="B30" s="7" t="s">
        <v>444</v>
      </c>
      <c r="C30" s="2" t="s">
        <v>443</v>
      </c>
      <c r="D30" s="2" t="s">
        <v>105</v>
      </c>
      <c r="E30" s="2" t="s">
        <v>445</v>
      </c>
      <c r="F30" s="2" t="s">
        <v>446</v>
      </c>
      <c r="G30" s="2" t="s">
        <v>447</v>
      </c>
      <c r="H30" s="2" t="s">
        <v>448</v>
      </c>
      <c r="I30" s="7" t="s">
        <v>346</v>
      </c>
      <c r="J30" s="2">
        <v>54</v>
      </c>
      <c r="K30" s="2">
        <v>25</v>
      </c>
      <c r="L30" s="2">
        <v>21</v>
      </c>
      <c r="M30" s="2">
        <f t="shared" si="0"/>
        <v>100</v>
      </c>
      <c r="N30" s="2">
        <v>0</v>
      </c>
      <c r="O30" s="7" t="s">
        <v>79</v>
      </c>
      <c r="P30" s="7" t="s">
        <v>162</v>
      </c>
      <c r="Q30" s="7" t="s">
        <v>79</v>
      </c>
      <c r="R30" s="7" t="s">
        <v>79</v>
      </c>
      <c r="S30" t="s">
        <v>79</v>
      </c>
      <c r="T30" s="7" t="str" cm="1">
        <f t="array" ref="T30">IF(ISNUMBER(MATCH(TRIM(A30)&amp;"", _xlfn._xlws.FILTER(TRIM(Project_Scores!$D$2:$D$300)&amp;"", Project_Scores!$I$2:$I$300=TRUE, ""), 0)), "حاضر", "غائب")</f>
        <v>غائب</v>
      </c>
      <c r="U30" s="2" t="str">
        <f t="shared" si="1"/>
        <v>4 من 6</v>
      </c>
      <c r="V30" s="21">
        <f t="shared" si="2"/>
        <v>0.66666666666666663</v>
      </c>
      <c r="W30" s="2">
        <f t="shared" si="3"/>
        <v>100</v>
      </c>
      <c r="X30" s="2">
        <v>130</v>
      </c>
      <c r="Y30" s="2">
        <f t="shared" si="4"/>
        <v>4</v>
      </c>
      <c r="Z30" s="2">
        <f t="shared" si="5"/>
        <v>6</v>
      </c>
      <c r="AA30">
        <f t="shared" si="6"/>
        <v>134.5</v>
      </c>
    </row>
    <row r="31" spans="1:31" ht="15.7" customHeight="1" x14ac:dyDescent="0.4">
      <c r="A31" s="2" t="s">
        <v>221</v>
      </c>
      <c r="B31" s="7" t="s">
        <v>452</v>
      </c>
      <c r="C31" s="2" t="s">
        <v>221</v>
      </c>
      <c r="D31" s="2" t="s">
        <v>39</v>
      </c>
      <c r="E31" s="2" t="s">
        <v>453</v>
      </c>
      <c r="F31" s="2" t="s">
        <v>454</v>
      </c>
      <c r="G31" s="2" t="s">
        <v>455</v>
      </c>
      <c r="H31" s="2" t="s">
        <v>456</v>
      </c>
      <c r="I31" s="7" t="s">
        <v>233</v>
      </c>
      <c r="J31" s="2">
        <v>51</v>
      </c>
      <c r="K31" s="2">
        <v>30</v>
      </c>
      <c r="L31" s="2">
        <v>20</v>
      </c>
      <c r="M31" s="2">
        <f t="shared" si="0"/>
        <v>101</v>
      </c>
      <c r="N31" s="2">
        <v>5</v>
      </c>
      <c r="O31" s="7" t="s">
        <v>79</v>
      </c>
      <c r="P31" s="7" t="s">
        <v>79</v>
      </c>
      <c r="Q31" s="7" t="s">
        <v>79</v>
      </c>
      <c r="R31" s="7" t="s">
        <v>79</v>
      </c>
      <c r="S31" t="s">
        <v>79</v>
      </c>
      <c r="T31" s="7" t="str" cm="1">
        <f t="array" ref="T31">IF(ISNUMBER(MATCH(TRIM(A31)&amp;"", _xlfn._xlws.FILTER(TRIM(Project_Scores!$D$2:$D$300)&amp;"", Project_Scores!$I$2:$I$300=TRUE, ""), 0)), "حاضر", "غائب")</f>
        <v>غائب</v>
      </c>
      <c r="U31" s="2" t="str">
        <f t="shared" si="1"/>
        <v>5 من 6</v>
      </c>
      <c r="V31" s="21">
        <f t="shared" si="2"/>
        <v>0.83333333333333337</v>
      </c>
      <c r="W31" s="2">
        <f t="shared" si="3"/>
        <v>106</v>
      </c>
      <c r="X31" s="2">
        <v>146</v>
      </c>
      <c r="Y31" s="2">
        <f t="shared" si="4"/>
        <v>5</v>
      </c>
      <c r="Z31" s="2">
        <f t="shared" si="5"/>
        <v>6</v>
      </c>
      <c r="AA31">
        <f t="shared" si="6"/>
        <v>151</v>
      </c>
    </row>
    <row r="32" spans="1:31" ht="15.7" customHeight="1" x14ac:dyDescent="0.4">
      <c r="A32" s="2" t="s">
        <v>459</v>
      </c>
      <c r="B32" s="7" t="s">
        <v>460</v>
      </c>
      <c r="C32" s="2" t="s">
        <v>459</v>
      </c>
      <c r="D32" s="2" t="s">
        <v>137</v>
      </c>
      <c r="E32" s="2" t="s">
        <v>138</v>
      </c>
      <c r="F32" s="2" t="s">
        <v>461</v>
      </c>
      <c r="G32" s="2" t="s">
        <v>463</v>
      </c>
      <c r="H32" s="2" t="s">
        <v>464</v>
      </c>
      <c r="I32" s="7" t="s">
        <v>430</v>
      </c>
      <c r="J32" s="2">
        <v>40</v>
      </c>
      <c r="K32" s="2">
        <v>25</v>
      </c>
      <c r="L32" s="2">
        <v>20</v>
      </c>
      <c r="M32" s="2">
        <f t="shared" si="0"/>
        <v>85</v>
      </c>
      <c r="N32" s="2">
        <v>26</v>
      </c>
      <c r="O32" s="7" t="s">
        <v>79</v>
      </c>
      <c r="P32" s="7" t="s">
        <v>79</v>
      </c>
      <c r="Q32" s="7" t="s">
        <v>79</v>
      </c>
      <c r="R32" s="7" t="s">
        <v>79</v>
      </c>
      <c r="S32" t="s">
        <v>79</v>
      </c>
      <c r="T32" s="7" t="str" cm="1">
        <f t="array" ref="T32">IF(ISNUMBER(MATCH(TRIM(A32)&amp;"", _xlfn._xlws.FILTER(TRIM(Project_Scores!$D$2:$D$300)&amp;"", Project_Scores!$I$2:$I$300=TRUE, ""), 0)), "حاضر", "غائب")</f>
        <v>غائب</v>
      </c>
      <c r="U32" s="2" t="str">
        <f t="shared" si="1"/>
        <v>5 من 6</v>
      </c>
      <c r="V32" s="21">
        <f t="shared" si="2"/>
        <v>0.83333333333333337</v>
      </c>
      <c r="W32" s="2">
        <f t="shared" si="3"/>
        <v>111</v>
      </c>
      <c r="X32" s="2">
        <v>151</v>
      </c>
      <c r="Y32" s="2">
        <f t="shared" si="4"/>
        <v>5</v>
      </c>
      <c r="Z32" s="2">
        <f t="shared" si="5"/>
        <v>6</v>
      </c>
      <c r="AA32">
        <f t="shared" si="6"/>
        <v>156</v>
      </c>
    </row>
    <row r="33" spans="1:29" ht="15.7" customHeight="1" x14ac:dyDescent="0.4">
      <c r="A33" s="2" t="s">
        <v>467</v>
      </c>
      <c r="B33" s="7" t="s">
        <v>468</v>
      </c>
      <c r="C33" s="2" t="s">
        <v>467</v>
      </c>
      <c r="D33" s="2" t="s">
        <v>137</v>
      </c>
      <c r="E33" s="2" t="s">
        <v>138</v>
      </c>
      <c r="F33" s="2" t="s">
        <v>469</v>
      </c>
      <c r="G33" s="2" t="s">
        <v>470</v>
      </c>
      <c r="H33" s="2" t="s">
        <v>471</v>
      </c>
      <c r="I33" s="7" t="s">
        <v>219</v>
      </c>
      <c r="J33" s="2">
        <v>40</v>
      </c>
      <c r="K33" s="2">
        <v>25</v>
      </c>
      <c r="L33" s="2">
        <v>20</v>
      </c>
      <c r="M33" s="2">
        <f t="shared" si="0"/>
        <v>85</v>
      </c>
      <c r="N33" s="2">
        <v>2</v>
      </c>
      <c r="O33" s="7" t="s">
        <v>79</v>
      </c>
      <c r="P33" s="7" t="s">
        <v>79</v>
      </c>
      <c r="Q33" s="7" t="s">
        <v>162</v>
      </c>
      <c r="R33" s="7" t="s">
        <v>79</v>
      </c>
      <c r="S33" t="s">
        <v>79</v>
      </c>
      <c r="T33" s="7" t="str" cm="1">
        <f t="array" ref="T33">IF(ISNUMBER(MATCH(TRIM(A33)&amp;"", _xlfn._xlws.FILTER(TRIM(Project_Scores!$D$2:$D$300)&amp;"", Project_Scores!$I$2:$I$300=TRUE, ""), 0)), "حاضر", "غائب")</f>
        <v>غائب</v>
      </c>
      <c r="U33" s="2" t="str">
        <f t="shared" si="1"/>
        <v>4 من 6</v>
      </c>
      <c r="V33" s="21">
        <f t="shared" si="2"/>
        <v>0.66666666666666663</v>
      </c>
      <c r="W33" s="2">
        <f t="shared" si="3"/>
        <v>87</v>
      </c>
      <c r="X33" s="2">
        <v>117</v>
      </c>
      <c r="Y33" s="2">
        <f t="shared" si="4"/>
        <v>4</v>
      </c>
      <c r="Z33" s="2">
        <f t="shared" si="5"/>
        <v>6</v>
      </c>
      <c r="AA33">
        <f t="shared" si="6"/>
        <v>121.5</v>
      </c>
    </row>
    <row r="34" spans="1:29" ht="15.7" customHeight="1" x14ac:dyDescent="0.4">
      <c r="A34" s="2" t="s">
        <v>475</v>
      </c>
      <c r="B34" s="7" t="s">
        <v>477</v>
      </c>
      <c r="C34" s="2" t="s">
        <v>475</v>
      </c>
      <c r="D34" s="2" t="s">
        <v>137</v>
      </c>
      <c r="E34" s="2" t="s">
        <v>417</v>
      </c>
      <c r="F34" s="2" t="s">
        <v>479</v>
      </c>
      <c r="G34" s="2" t="s">
        <v>480</v>
      </c>
      <c r="H34" s="2" t="s">
        <v>481</v>
      </c>
      <c r="I34" s="7" t="s">
        <v>483</v>
      </c>
      <c r="J34" s="2">
        <v>55</v>
      </c>
      <c r="K34" s="2">
        <v>45</v>
      </c>
      <c r="L34" s="2">
        <v>37</v>
      </c>
      <c r="M34" s="2">
        <f t="shared" si="0"/>
        <v>137</v>
      </c>
      <c r="N34" s="2">
        <v>6</v>
      </c>
      <c r="O34" s="7" t="s">
        <v>79</v>
      </c>
      <c r="P34" s="7" t="s">
        <v>79</v>
      </c>
      <c r="Q34" s="7" t="s">
        <v>79</v>
      </c>
      <c r="R34" s="7" t="s">
        <v>79</v>
      </c>
      <c r="S34" s="7" t="s">
        <v>79</v>
      </c>
      <c r="T34" s="7" t="str" cm="1">
        <f t="array" ref="T34">IF(ISNUMBER(MATCH(TRIM(A34)&amp;"", _xlfn._xlws.FILTER(TRIM(Project_Scores!$D$2:$D$300)&amp;"", Project_Scores!$I$2:$I$300=TRUE, ""), 0)), "حاضر", "غائب")</f>
        <v>غائب</v>
      </c>
      <c r="U34" s="2" t="str">
        <f t="shared" si="1"/>
        <v>5 من 6</v>
      </c>
      <c r="V34" s="21">
        <f t="shared" si="2"/>
        <v>0.83333333333333337</v>
      </c>
      <c r="W34" s="2">
        <f t="shared" si="3"/>
        <v>143</v>
      </c>
      <c r="X34" s="2">
        <v>183</v>
      </c>
      <c r="Y34" s="2">
        <f t="shared" si="4"/>
        <v>5</v>
      </c>
      <c r="Z34" s="2">
        <f t="shared" si="5"/>
        <v>6</v>
      </c>
      <c r="AA34">
        <f t="shared" si="6"/>
        <v>188</v>
      </c>
    </row>
    <row r="35" spans="1:29" ht="15.7" customHeight="1" x14ac:dyDescent="0.4">
      <c r="A35" s="2" t="s">
        <v>485</v>
      </c>
      <c r="B35" s="7" t="s">
        <v>486</v>
      </c>
      <c r="C35" s="2" t="s">
        <v>485</v>
      </c>
      <c r="D35" s="2" t="s">
        <v>105</v>
      </c>
      <c r="E35" s="2" t="s">
        <v>489</v>
      </c>
      <c r="F35" s="2" t="s">
        <v>490</v>
      </c>
      <c r="G35" s="2" t="s">
        <v>491</v>
      </c>
      <c r="H35" s="2" t="s">
        <v>492</v>
      </c>
      <c r="I35" s="7" t="s">
        <v>483</v>
      </c>
      <c r="J35" s="2">
        <v>52</v>
      </c>
      <c r="K35" s="2">
        <v>45</v>
      </c>
      <c r="L35" s="2">
        <v>0</v>
      </c>
      <c r="M35" s="2">
        <f t="shared" si="0"/>
        <v>97</v>
      </c>
      <c r="N35" s="2">
        <v>0</v>
      </c>
      <c r="O35" s="7" t="s">
        <v>79</v>
      </c>
      <c r="P35" s="7" t="s">
        <v>79</v>
      </c>
      <c r="Q35" s="7" t="s">
        <v>79</v>
      </c>
      <c r="R35" s="7" t="s">
        <v>79</v>
      </c>
      <c r="S35" t="s">
        <v>113</v>
      </c>
      <c r="T35" s="7" t="str" cm="1">
        <f t="array" ref="T35">IF(ISNUMBER(MATCH(TRIM(A35)&amp;"", _xlfn._xlws.FILTER(TRIM(Project_Scores!$D$2:$D$300)&amp;"", Project_Scores!$I$2:$I$300=TRUE, ""), 0)), "حاضر", "غائب")</f>
        <v>غائب</v>
      </c>
      <c r="U35" s="2" t="str">
        <f t="shared" si="1"/>
        <v>4 من 6</v>
      </c>
      <c r="V35" s="21">
        <f t="shared" si="2"/>
        <v>0.66666666666666663</v>
      </c>
      <c r="W35" s="2">
        <f t="shared" si="3"/>
        <v>97</v>
      </c>
      <c r="X35" s="2">
        <v>137</v>
      </c>
      <c r="Y35" s="2">
        <f t="shared" si="4"/>
        <v>4</v>
      </c>
      <c r="Z35" s="2">
        <f t="shared" si="5"/>
        <v>6</v>
      </c>
      <c r="AA35">
        <f t="shared" si="6"/>
        <v>141</v>
      </c>
    </row>
    <row r="36" spans="1:29" ht="15.7" customHeight="1" x14ac:dyDescent="0.4">
      <c r="A36" s="2" t="s">
        <v>287</v>
      </c>
      <c r="B36" s="7" t="s">
        <v>286</v>
      </c>
      <c r="C36" s="2" t="s">
        <v>287</v>
      </c>
      <c r="D36" s="2" t="s">
        <v>137</v>
      </c>
      <c r="E36" s="2" t="s">
        <v>138</v>
      </c>
      <c r="F36" s="2" t="s">
        <v>496</v>
      </c>
      <c r="G36" s="2" t="s">
        <v>498</v>
      </c>
      <c r="H36" s="2" t="s">
        <v>501</v>
      </c>
      <c r="I36" s="7" t="s">
        <v>132</v>
      </c>
      <c r="J36" s="2">
        <v>45</v>
      </c>
      <c r="K36" s="2">
        <v>35</v>
      </c>
      <c r="L36" s="2">
        <v>36</v>
      </c>
      <c r="M36" s="2">
        <f t="shared" si="0"/>
        <v>116</v>
      </c>
      <c r="N36" s="2">
        <v>2</v>
      </c>
      <c r="O36" s="7" t="s">
        <v>79</v>
      </c>
      <c r="P36" s="7" t="s">
        <v>79</v>
      </c>
      <c r="Q36" s="7" t="s">
        <v>79</v>
      </c>
      <c r="R36" s="7" t="s">
        <v>113</v>
      </c>
      <c r="S36" t="s">
        <v>79</v>
      </c>
      <c r="T36" s="7" t="str" cm="1">
        <f t="array" ref="T36">IF(ISNUMBER(MATCH(TRIM(A36)&amp;"", _xlfn._xlws.FILTER(TRIM(Project_Scores!$D$2:$D$300)&amp;"", Project_Scores!$I$2:$I$300=TRUE, ""), 0)), "حاضر", "غائب")</f>
        <v>غائب</v>
      </c>
      <c r="U36" s="2" t="str">
        <f t="shared" si="1"/>
        <v>4 من 6</v>
      </c>
      <c r="V36" s="21">
        <f t="shared" si="2"/>
        <v>0.66666666666666663</v>
      </c>
      <c r="W36" s="2">
        <f t="shared" si="3"/>
        <v>118</v>
      </c>
      <c r="X36" s="2">
        <v>148</v>
      </c>
      <c r="Y36" s="2">
        <f t="shared" si="4"/>
        <v>4</v>
      </c>
      <c r="Z36" s="2">
        <f t="shared" si="5"/>
        <v>6</v>
      </c>
      <c r="AA36">
        <f t="shared" si="6"/>
        <v>152</v>
      </c>
    </row>
    <row r="37" spans="1:29" ht="15.7" customHeight="1" x14ac:dyDescent="0.4">
      <c r="A37" s="2" t="s">
        <v>276</v>
      </c>
      <c r="B37" s="7" t="s">
        <v>275</v>
      </c>
      <c r="C37" s="2" t="s">
        <v>276</v>
      </c>
      <c r="D37" s="2" t="s">
        <v>105</v>
      </c>
      <c r="E37" s="2" t="s">
        <v>505</v>
      </c>
      <c r="F37" s="2" t="s">
        <v>506</v>
      </c>
      <c r="G37" s="2" t="s">
        <v>507</v>
      </c>
      <c r="H37" s="2" t="s">
        <v>508</v>
      </c>
      <c r="I37" s="7" t="s">
        <v>122</v>
      </c>
      <c r="J37" s="2">
        <v>55</v>
      </c>
      <c r="K37" s="2">
        <v>37</v>
      </c>
      <c r="L37" s="2">
        <v>0</v>
      </c>
      <c r="M37" s="2">
        <f t="shared" si="0"/>
        <v>92</v>
      </c>
      <c r="N37" s="2">
        <v>0</v>
      </c>
      <c r="O37" s="7" t="s">
        <v>79</v>
      </c>
      <c r="P37" s="7" t="s">
        <v>79</v>
      </c>
      <c r="Q37" s="7" t="s">
        <v>79</v>
      </c>
      <c r="R37" s="7" t="s">
        <v>113</v>
      </c>
      <c r="S37" t="s">
        <v>79</v>
      </c>
      <c r="T37" s="7" t="str" cm="1">
        <f t="array" ref="T37">IF(ISNUMBER(MATCH(TRIM(A37)&amp;"", _xlfn._xlws.FILTER(TRIM(Project_Scores!$D$2:$D$300)&amp;"", Project_Scores!$I$2:$I$300=TRUE, ""), 0)), "حاضر", "غائب")</f>
        <v>غائب</v>
      </c>
      <c r="U37" s="2" t="str">
        <f t="shared" si="1"/>
        <v>4 من 6</v>
      </c>
      <c r="V37" s="21">
        <f t="shared" si="2"/>
        <v>0.66666666666666663</v>
      </c>
      <c r="W37" s="2">
        <f t="shared" si="3"/>
        <v>92</v>
      </c>
      <c r="X37" s="2">
        <v>122</v>
      </c>
      <c r="Y37" s="2">
        <f t="shared" si="4"/>
        <v>4</v>
      </c>
      <c r="Z37" s="2">
        <f t="shared" si="5"/>
        <v>6</v>
      </c>
      <c r="AA37">
        <f t="shared" si="6"/>
        <v>126</v>
      </c>
    </row>
    <row r="38" spans="1:29" ht="15.7" customHeight="1" x14ac:dyDescent="0.4">
      <c r="A38" s="2" t="s">
        <v>512</v>
      </c>
      <c r="B38" s="7" t="s">
        <v>513</v>
      </c>
      <c r="C38" s="2" t="s">
        <v>512</v>
      </c>
      <c r="D38" s="2" t="s">
        <v>137</v>
      </c>
      <c r="E38" s="2" t="s">
        <v>138</v>
      </c>
      <c r="F38" s="2" t="s">
        <v>514</v>
      </c>
      <c r="G38" s="2" t="s">
        <v>515</v>
      </c>
      <c r="H38" s="2" t="s">
        <v>516</v>
      </c>
      <c r="I38" s="7" t="s">
        <v>122</v>
      </c>
      <c r="J38" s="2">
        <v>55</v>
      </c>
      <c r="K38" s="2">
        <v>45</v>
      </c>
      <c r="L38" s="2">
        <v>36</v>
      </c>
      <c r="M38" s="2">
        <f t="shared" si="0"/>
        <v>136</v>
      </c>
      <c r="N38" s="2">
        <v>0</v>
      </c>
      <c r="O38" s="7" t="s">
        <v>79</v>
      </c>
      <c r="P38" s="7" t="s">
        <v>79</v>
      </c>
      <c r="Q38" s="7" t="s">
        <v>79</v>
      </c>
      <c r="R38" s="7" t="s">
        <v>79</v>
      </c>
      <c r="S38" t="s">
        <v>113</v>
      </c>
      <c r="T38" s="7" t="str" cm="1">
        <f t="array" ref="T38">IF(ISNUMBER(MATCH(TRIM(A38)&amp;"", _xlfn._xlws.FILTER(TRIM(Project_Scores!$D$2:$D$300)&amp;"", Project_Scores!$I$2:$I$300=TRUE, ""), 0)), "حاضر", "غائب")</f>
        <v>غائب</v>
      </c>
      <c r="U38" s="2" t="str">
        <f t="shared" si="1"/>
        <v>4 من 6</v>
      </c>
      <c r="V38" s="21">
        <f t="shared" si="2"/>
        <v>0.66666666666666663</v>
      </c>
      <c r="W38" s="2">
        <f t="shared" si="3"/>
        <v>136</v>
      </c>
      <c r="X38" s="2">
        <v>176</v>
      </c>
      <c r="Y38" s="2">
        <f t="shared" si="4"/>
        <v>4</v>
      </c>
      <c r="Z38" s="2">
        <f t="shared" si="5"/>
        <v>6</v>
      </c>
      <c r="AA38">
        <f t="shared" si="6"/>
        <v>180</v>
      </c>
    </row>
    <row r="39" spans="1:29" ht="15.7" customHeight="1" x14ac:dyDescent="0.4">
      <c r="A39" s="2" t="s">
        <v>519</v>
      </c>
      <c r="B39" s="7" t="s">
        <v>520</v>
      </c>
      <c r="C39" s="2" t="s">
        <v>519</v>
      </c>
      <c r="D39" s="2" t="s">
        <v>39</v>
      </c>
      <c r="E39" s="2" t="s">
        <v>521</v>
      </c>
      <c r="F39" s="2" t="s">
        <v>523</v>
      </c>
      <c r="G39" s="2" t="s">
        <v>525</v>
      </c>
      <c r="H39" s="2" t="s">
        <v>526</v>
      </c>
      <c r="I39" s="7" t="s">
        <v>122</v>
      </c>
      <c r="J39" s="2">
        <v>55</v>
      </c>
      <c r="K39" s="2">
        <v>37</v>
      </c>
      <c r="L39" s="2">
        <v>15</v>
      </c>
      <c r="M39" s="2">
        <f t="shared" si="0"/>
        <v>107</v>
      </c>
      <c r="N39" s="2">
        <v>2</v>
      </c>
      <c r="O39" s="7" t="s">
        <v>79</v>
      </c>
      <c r="P39" s="7" t="s">
        <v>79</v>
      </c>
      <c r="Q39" s="7" t="s">
        <v>79</v>
      </c>
      <c r="R39" s="7" t="s">
        <v>79</v>
      </c>
      <c r="S39" t="s">
        <v>79</v>
      </c>
      <c r="T39" s="7" t="str" cm="1">
        <f t="array" ref="T39">IF(ISNUMBER(MATCH(TRIM(A39)&amp;"", _xlfn._xlws.FILTER(TRIM(Project_Scores!$D$2:$D$300)&amp;"", Project_Scores!$I$2:$I$300=TRUE, ""), 0)), "حاضر", "غائب")</f>
        <v>غائب</v>
      </c>
      <c r="U39" s="2" t="str">
        <f t="shared" si="1"/>
        <v>5 من 6</v>
      </c>
      <c r="V39" s="21">
        <f t="shared" si="2"/>
        <v>0.83333333333333337</v>
      </c>
      <c r="W39" s="2">
        <f t="shared" si="3"/>
        <v>109</v>
      </c>
      <c r="X39" s="2">
        <v>149</v>
      </c>
      <c r="Y39" s="2">
        <f t="shared" si="4"/>
        <v>5</v>
      </c>
      <c r="Z39" s="2">
        <f t="shared" si="5"/>
        <v>6</v>
      </c>
      <c r="AA39">
        <f t="shared" si="6"/>
        <v>154</v>
      </c>
    </row>
    <row r="40" spans="1:29" ht="15.7" customHeight="1" x14ac:dyDescent="0.4">
      <c r="A40" s="2" t="s">
        <v>278</v>
      </c>
      <c r="B40" s="7" t="s">
        <v>529</v>
      </c>
      <c r="C40" s="2" t="s">
        <v>278</v>
      </c>
      <c r="D40" s="2" t="s">
        <v>105</v>
      </c>
      <c r="E40" s="2" t="s">
        <v>530</v>
      </c>
      <c r="F40" s="2" t="s">
        <v>531</v>
      </c>
      <c r="G40" s="2" t="s">
        <v>532</v>
      </c>
      <c r="H40" s="2" t="s">
        <v>533</v>
      </c>
      <c r="I40" s="7" t="s">
        <v>199</v>
      </c>
      <c r="J40" s="2">
        <v>15</v>
      </c>
      <c r="K40" s="2">
        <v>0</v>
      </c>
      <c r="L40" s="2">
        <v>0</v>
      </c>
      <c r="M40" s="2">
        <f t="shared" si="0"/>
        <v>15</v>
      </c>
      <c r="N40" s="2">
        <v>1</v>
      </c>
      <c r="O40" s="7" t="s">
        <v>79</v>
      </c>
      <c r="P40" s="7" t="s">
        <v>79</v>
      </c>
      <c r="Q40" s="7" t="s">
        <v>79</v>
      </c>
      <c r="R40" s="7" t="s">
        <v>113</v>
      </c>
      <c r="S40" t="s">
        <v>79</v>
      </c>
      <c r="T40" s="7" t="str" cm="1">
        <f t="array" ref="T40">IF(ISNUMBER(MATCH(TRIM(A40)&amp;"", _xlfn._xlws.FILTER(TRIM(Project_Scores!$D$2:$D$300)&amp;"", Project_Scores!$I$2:$I$300=TRUE, ""), 0)), "حاضر", "غائب")</f>
        <v>غائب</v>
      </c>
      <c r="U40" s="2" t="str">
        <f t="shared" si="1"/>
        <v>4 من 6</v>
      </c>
      <c r="V40" s="21">
        <f t="shared" si="2"/>
        <v>0.66666666666666663</v>
      </c>
      <c r="W40" s="2">
        <f t="shared" si="3"/>
        <v>16</v>
      </c>
      <c r="X40" s="2">
        <v>46</v>
      </c>
      <c r="Y40" s="2">
        <f t="shared" si="4"/>
        <v>4</v>
      </c>
      <c r="Z40" s="2">
        <f t="shared" si="5"/>
        <v>6</v>
      </c>
      <c r="AA40">
        <f t="shared" si="6"/>
        <v>50</v>
      </c>
    </row>
    <row r="41" spans="1:29" ht="15.7" customHeight="1" x14ac:dyDescent="0.4">
      <c r="A41" s="2" t="s">
        <v>539</v>
      </c>
      <c r="B41" s="7" t="s">
        <v>540</v>
      </c>
      <c r="C41" s="2" t="s">
        <v>539</v>
      </c>
      <c r="D41" s="2" t="s">
        <v>105</v>
      </c>
      <c r="E41" s="2" t="s">
        <v>541</v>
      </c>
      <c r="F41" s="2" t="s">
        <v>542</v>
      </c>
      <c r="G41" s="2" t="s">
        <v>543</v>
      </c>
      <c r="H41" s="2" t="s">
        <v>544</v>
      </c>
      <c r="I41" s="7" t="s">
        <v>483</v>
      </c>
      <c r="J41" s="2">
        <v>0</v>
      </c>
      <c r="K41" s="2">
        <v>0</v>
      </c>
      <c r="L41" s="2">
        <v>0</v>
      </c>
      <c r="M41" s="2">
        <f t="shared" si="0"/>
        <v>0</v>
      </c>
      <c r="N41" s="2">
        <v>0</v>
      </c>
      <c r="O41" s="7" t="s">
        <v>113</v>
      </c>
      <c r="P41" s="7" t="s">
        <v>113</v>
      </c>
      <c r="Q41" s="7" t="s">
        <v>113</v>
      </c>
      <c r="R41" s="7" t="s">
        <v>113</v>
      </c>
      <c r="S41" t="s">
        <v>113</v>
      </c>
      <c r="T41" s="7" t="str" cm="1">
        <f t="array" ref="T41">IF(ISNUMBER(MATCH(TRIM(A41)&amp;"", _xlfn._xlws.FILTER(TRIM(Project_Scores!$D$2:$D$300)&amp;"", Project_Scores!$I$2:$I$300=TRUE, ""), 0)), "حاضر", "غائب")</f>
        <v>غائب</v>
      </c>
      <c r="U41" s="2" t="str">
        <f t="shared" si="1"/>
        <v>0 من 6</v>
      </c>
      <c r="V41" s="21">
        <f t="shared" si="2"/>
        <v>0</v>
      </c>
      <c r="W41" s="2">
        <f t="shared" si="3"/>
        <v>0</v>
      </c>
      <c r="X41" s="2">
        <v>0</v>
      </c>
      <c r="Y41" s="2">
        <f t="shared" si="4"/>
        <v>0</v>
      </c>
      <c r="Z41" s="2">
        <f t="shared" si="5"/>
        <v>6</v>
      </c>
      <c r="AA41">
        <f t="shared" si="6"/>
        <v>0</v>
      </c>
    </row>
    <row r="42" spans="1:29" ht="15.7" customHeight="1" x14ac:dyDescent="0.4">
      <c r="A42" s="2" t="s">
        <v>330</v>
      </c>
      <c r="B42" s="7" t="s">
        <v>329</v>
      </c>
      <c r="C42" s="2" t="s">
        <v>330</v>
      </c>
      <c r="D42" s="2" t="s">
        <v>39</v>
      </c>
      <c r="E42" s="2" t="s">
        <v>547</v>
      </c>
      <c r="F42" s="2" t="s">
        <v>548</v>
      </c>
      <c r="G42" s="2" t="s">
        <v>550</v>
      </c>
      <c r="H42" s="2" t="s">
        <v>552</v>
      </c>
      <c r="I42" s="2" t="s">
        <v>553</v>
      </c>
      <c r="J42" s="2">
        <v>35</v>
      </c>
      <c r="K42" s="2">
        <v>40</v>
      </c>
      <c r="L42" s="2">
        <v>0</v>
      </c>
      <c r="M42" s="2">
        <f t="shared" si="0"/>
        <v>75</v>
      </c>
      <c r="N42" s="2">
        <v>14</v>
      </c>
      <c r="O42" s="7" t="s">
        <v>79</v>
      </c>
      <c r="P42" s="7" t="s">
        <v>79</v>
      </c>
      <c r="Q42" s="7" t="s">
        <v>79</v>
      </c>
      <c r="R42" s="7" t="s">
        <v>79</v>
      </c>
      <c r="S42" t="s">
        <v>79</v>
      </c>
      <c r="T42" s="7" t="str" cm="1">
        <f t="array" ref="T42">IF(ISNUMBER(MATCH(TRIM(A42)&amp;"", _xlfn._xlws.FILTER(TRIM(Project_Scores!$D$2:$D$300)&amp;"", Project_Scores!$I$2:$I$300=TRUE, ""), 0)), "حاضر", "غائب")</f>
        <v>غائب</v>
      </c>
      <c r="U42" s="2" t="str">
        <f t="shared" si="1"/>
        <v>5 من 6</v>
      </c>
      <c r="V42" s="21">
        <f t="shared" si="2"/>
        <v>0.83333333333333337</v>
      </c>
      <c r="W42" s="2">
        <f t="shared" si="3"/>
        <v>89</v>
      </c>
      <c r="X42" s="2">
        <v>129</v>
      </c>
      <c r="Y42" s="2">
        <f t="shared" si="4"/>
        <v>5</v>
      </c>
      <c r="Z42" s="2">
        <f t="shared" si="5"/>
        <v>6</v>
      </c>
      <c r="AA42">
        <f t="shared" si="6"/>
        <v>134</v>
      </c>
    </row>
    <row r="43" spans="1:29" ht="15.7" customHeight="1" x14ac:dyDescent="0.4">
      <c r="A43" s="2" t="s">
        <v>556</v>
      </c>
      <c r="B43" s="7" t="s">
        <v>557</v>
      </c>
      <c r="C43" s="2" t="s">
        <v>556</v>
      </c>
      <c r="D43" s="2" t="s">
        <v>137</v>
      </c>
      <c r="E43" s="2" t="s">
        <v>558</v>
      </c>
      <c r="F43" s="2" t="s">
        <v>560</v>
      </c>
      <c r="G43" s="2" t="s">
        <v>562</v>
      </c>
      <c r="H43" s="2" t="s">
        <v>563</v>
      </c>
      <c r="I43" s="7" t="s">
        <v>564</v>
      </c>
      <c r="J43" s="2">
        <v>0</v>
      </c>
      <c r="K43" s="2">
        <v>0</v>
      </c>
      <c r="L43" s="2">
        <v>0</v>
      </c>
      <c r="M43" s="2">
        <f t="shared" si="0"/>
        <v>0</v>
      </c>
      <c r="N43" s="2">
        <v>0</v>
      </c>
      <c r="O43" s="7" t="s">
        <v>113</v>
      </c>
      <c r="P43" s="7" t="s">
        <v>113</v>
      </c>
      <c r="Q43" s="7" t="s">
        <v>113</v>
      </c>
      <c r="R43" s="7" t="s">
        <v>113</v>
      </c>
      <c r="S43" t="s">
        <v>113</v>
      </c>
      <c r="T43" s="7" t="str" cm="1">
        <f t="array" ref="T43">IF(ISNUMBER(MATCH(TRIM(A43)&amp;"", _xlfn._xlws.FILTER(TRIM(Project_Scores!$D$2:$D$300)&amp;"", Project_Scores!$I$2:$I$300=TRUE, ""), 0)), "حاضر", "غائب")</f>
        <v>غائب</v>
      </c>
      <c r="U43" s="2" t="str">
        <f t="shared" si="1"/>
        <v>0 من 6</v>
      </c>
      <c r="V43" s="21">
        <f t="shared" si="2"/>
        <v>0</v>
      </c>
      <c r="W43" s="2">
        <f t="shared" si="3"/>
        <v>0</v>
      </c>
      <c r="X43" s="2">
        <v>0</v>
      </c>
      <c r="Y43" s="2">
        <f t="shared" si="4"/>
        <v>0</v>
      </c>
      <c r="Z43" s="2">
        <f t="shared" si="5"/>
        <v>6</v>
      </c>
      <c r="AA43">
        <f t="shared" si="6"/>
        <v>0</v>
      </c>
    </row>
    <row r="44" spans="1:29" ht="15.7" customHeight="1" x14ac:dyDescent="0.4">
      <c r="A44" s="2" t="s">
        <v>426</v>
      </c>
      <c r="B44" s="7" t="s">
        <v>424</v>
      </c>
      <c r="C44" s="2" t="s">
        <v>426</v>
      </c>
      <c r="D44" s="2" t="s">
        <v>105</v>
      </c>
      <c r="E44" s="2" t="s">
        <v>568</v>
      </c>
      <c r="F44" s="2" t="s">
        <v>569</v>
      </c>
      <c r="G44" s="2" t="s">
        <v>570</v>
      </c>
      <c r="H44" s="2" t="s">
        <v>571</v>
      </c>
      <c r="I44" s="7" t="s">
        <v>208</v>
      </c>
      <c r="J44" s="2">
        <v>55</v>
      </c>
      <c r="K44" s="2">
        <v>45</v>
      </c>
      <c r="L44" s="2">
        <v>39</v>
      </c>
      <c r="M44" s="2">
        <f t="shared" si="0"/>
        <v>139</v>
      </c>
      <c r="N44" s="2">
        <v>15</v>
      </c>
      <c r="O44" s="7" t="s">
        <v>79</v>
      </c>
      <c r="P44" s="7" t="s">
        <v>79</v>
      </c>
      <c r="Q44" s="7" t="s">
        <v>79</v>
      </c>
      <c r="R44" s="7" t="s">
        <v>79</v>
      </c>
      <c r="S44" t="s">
        <v>79</v>
      </c>
      <c r="T44" s="7" t="str" cm="1">
        <f t="array" ref="T44">IF(ISNUMBER(MATCH(TRIM(A44)&amp;"", _xlfn._xlws.FILTER(TRIM(Project_Scores!$D$2:$D$300)&amp;"", Project_Scores!$I$2:$I$300=TRUE, ""), 0)), "حاضر", "غائب")</f>
        <v>غائب</v>
      </c>
      <c r="U44" s="2" t="str">
        <f t="shared" si="1"/>
        <v>5 من 6</v>
      </c>
      <c r="V44" s="21">
        <f t="shared" si="2"/>
        <v>0.83333333333333337</v>
      </c>
      <c r="W44" s="2">
        <f t="shared" si="3"/>
        <v>154</v>
      </c>
      <c r="X44" s="2">
        <v>194</v>
      </c>
      <c r="Y44" s="2">
        <f t="shared" si="4"/>
        <v>5</v>
      </c>
      <c r="Z44" s="2">
        <f t="shared" si="5"/>
        <v>6</v>
      </c>
      <c r="AA44">
        <f t="shared" si="6"/>
        <v>199</v>
      </c>
    </row>
    <row r="45" spans="1:29" ht="15.7" customHeight="1" x14ac:dyDescent="0.4">
      <c r="A45" s="2" t="s">
        <v>170</v>
      </c>
      <c r="B45" s="7" t="s">
        <v>574</v>
      </c>
      <c r="C45" s="2" t="s">
        <v>170</v>
      </c>
      <c r="D45" s="2" t="s">
        <v>39</v>
      </c>
      <c r="E45" s="2" t="s">
        <v>575</v>
      </c>
      <c r="F45" s="2" t="s">
        <v>326</v>
      </c>
      <c r="G45" s="2" t="s">
        <v>577</v>
      </c>
      <c r="H45" s="2" t="s">
        <v>324</v>
      </c>
      <c r="I45" s="7" t="s">
        <v>150</v>
      </c>
      <c r="J45" s="2">
        <v>54</v>
      </c>
      <c r="K45" s="2">
        <v>31</v>
      </c>
      <c r="L45" s="2">
        <v>15</v>
      </c>
      <c r="M45" s="2">
        <f t="shared" si="0"/>
        <v>100</v>
      </c>
      <c r="N45" s="2">
        <v>8</v>
      </c>
      <c r="O45" s="7" t="s">
        <v>79</v>
      </c>
      <c r="P45" s="7" t="s">
        <v>79</v>
      </c>
      <c r="Q45" s="7" t="s">
        <v>79</v>
      </c>
      <c r="R45" s="7" t="s">
        <v>79</v>
      </c>
      <c r="S45" t="s">
        <v>79</v>
      </c>
      <c r="T45" s="7" t="str" cm="1">
        <f t="array" ref="T45">IF(ISNUMBER(MATCH(TRIM(A45)&amp;"", _xlfn._xlws.FILTER(TRIM(Project_Scores!$D$2:$D$300)&amp;"", Project_Scores!$I$2:$I$300=TRUE, ""), 0)), "حاضر", "غائب")</f>
        <v>غائب</v>
      </c>
      <c r="U45" s="2" t="str">
        <f t="shared" si="1"/>
        <v>5 من 6</v>
      </c>
      <c r="V45" s="21">
        <f t="shared" si="2"/>
        <v>0.83333333333333337</v>
      </c>
      <c r="W45" s="2">
        <f t="shared" si="3"/>
        <v>108</v>
      </c>
      <c r="X45" s="2">
        <v>148</v>
      </c>
      <c r="Y45" s="2">
        <f t="shared" si="4"/>
        <v>5</v>
      </c>
      <c r="Z45" s="2">
        <f t="shared" si="5"/>
        <v>6</v>
      </c>
      <c r="AA45">
        <f t="shared" si="6"/>
        <v>153</v>
      </c>
      <c r="AC45">
        <f>COUNTIF(T:T, "حاضر")</f>
        <v>0</v>
      </c>
    </row>
    <row r="46" spans="1:29" ht="15.7" customHeight="1" x14ac:dyDescent="0.4">
      <c r="A46" s="2" t="s">
        <v>432</v>
      </c>
      <c r="B46" s="7" t="s">
        <v>431</v>
      </c>
      <c r="C46" s="2" t="s">
        <v>432</v>
      </c>
      <c r="D46" s="2" t="s">
        <v>105</v>
      </c>
      <c r="E46" s="2" t="s">
        <v>583</v>
      </c>
      <c r="F46" s="2" t="s">
        <v>584</v>
      </c>
      <c r="G46" s="2" t="s">
        <v>585</v>
      </c>
      <c r="H46" s="2" t="s">
        <v>586</v>
      </c>
      <c r="I46" s="2" t="s">
        <v>553</v>
      </c>
      <c r="J46" s="2">
        <v>55</v>
      </c>
      <c r="K46" s="2">
        <v>45</v>
      </c>
      <c r="L46" s="2">
        <v>37</v>
      </c>
      <c r="M46" s="2">
        <f t="shared" si="0"/>
        <v>137</v>
      </c>
      <c r="N46" s="2">
        <v>8</v>
      </c>
      <c r="O46" s="7" t="s">
        <v>79</v>
      </c>
      <c r="P46" s="7" t="s">
        <v>79</v>
      </c>
      <c r="Q46" s="7" t="s">
        <v>79</v>
      </c>
      <c r="R46" s="7" t="s">
        <v>79</v>
      </c>
      <c r="S46" t="s">
        <v>79</v>
      </c>
      <c r="T46" s="7" t="str" cm="1">
        <f t="array" ref="T46">IF(ISNUMBER(MATCH(TRIM(A46)&amp;"", _xlfn._xlws.FILTER(TRIM(Project_Scores!$D$2:$D$300)&amp;"", Project_Scores!$I$2:$I$300=TRUE, ""), 0)), "حاضر", "غائب")</f>
        <v>غائب</v>
      </c>
      <c r="U46" s="2" t="str">
        <f t="shared" si="1"/>
        <v>5 من 6</v>
      </c>
      <c r="V46" s="21">
        <f t="shared" si="2"/>
        <v>0.83333333333333337</v>
      </c>
      <c r="W46" s="2">
        <f t="shared" si="3"/>
        <v>145</v>
      </c>
      <c r="X46" s="2">
        <v>185</v>
      </c>
      <c r="Y46" s="2">
        <f t="shared" si="4"/>
        <v>5</v>
      </c>
      <c r="Z46" s="2">
        <f t="shared" si="5"/>
        <v>6</v>
      </c>
      <c r="AA46">
        <f t="shared" si="6"/>
        <v>190</v>
      </c>
    </row>
    <row r="47" spans="1:29" ht="15.7" customHeight="1" x14ac:dyDescent="0.4">
      <c r="A47" s="2" t="s">
        <v>590</v>
      </c>
      <c r="B47" s="7" t="s">
        <v>591</v>
      </c>
      <c r="C47" s="2" t="s">
        <v>590</v>
      </c>
      <c r="D47" s="2" t="s">
        <v>137</v>
      </c>
      <c r="E47" s="2" t="s">
        <v>138</v>
      </c>
      <c r="F47" s="2" t="s">
        <v>594</v>
      </c>
      <c r="G47" s="2" t="s">
        <v>595</v>
      </c>
      <c r="H47" s="2" t="s">
        <v>596</v>
      </c>
      <c r="I47" s="7" t="s">
        <v>160</v>
      </c>
      <c r="J47" s="2">
        <v>40</v>
      </c>
      <c r="K47" s="2">
        <v>43</v>
      </c>
      <c r="L47" s="2">
        <v>0</v>
      </c>
      <c r="M47" s="2">
        <f t="shared" si="0"/>
        <v>83</v>
      </c>
      <c r="N47" s="2">
        <v>16</v>
      </c>
      <c r="O47" s="7" t="s">
        <v>79</v>
      </c>
      <c r="P47" s="7" t="s">
        <v>79</v>
      </c>
      <c r="Q47" s="7" t="s">
        <v>79</v>
      </c>
      <c r="R47" s="7" t="s">
        <v>79</v>
      </c>
      <c r="S47" t="s">
        <v>79</v>
      </c>
      <c r="T47" s="7" t="str" cm="1">
        <f t="array" ref="T47">IF(ISNUMBER(MATCH(TRIM(A47)&amp;"", _xlfn._xlws.FILTER(TRIM(Project_Scores!$D$2:$D$300)&amp;"", Project_Scores!$I$2:$I$300=TRUE, ""), 0)), "حاضر", "غائب")</f>
        <v>غائب</v>
      </c>
      <c r="U47" s="2" t="str">
        <f t="shared" si="1"/>
        <v>5 من 6</v>
      </c>
      <c r="V47" s="21">
        <f t="shared" si="2"/>
        <v>0.83333333333333337</v>
      </c>
      <c r="W47" s="2">
        <f t="shared" si="3"/>
        <v>99</v>
      </c>
      <c r="X47" s="2">
        <v>139</v>
      </c>
      <c r="Y47" s="2">
        <f t="shared" si="4"/>
        <v>5</v>
      </c>
      <c r="Z47" s="2">
        <f t="shared" si="5"/>
        <v>6</v>
      </c>
      <c r="AA47">
        <f t="shared" si="6"/>
        <v>144</v>
      </c>
    </row>
    <row r="48" spans="1:29" ht="15.7" customHeight="1" x14ac:dyDescent="0.4">
      <c r="A48" s="2" t="s">
        <v>599</v>
      </c>
      <c r="B48" s="7" t="s">
        <v>600</v>
      </c>
      <c r="C48" s="2" t="s">
        <v>599</v>
      </c>
      <c r="D48" s="2" t="s">
        <v>137</v>
      </c>
      <c r="E48" s="2" t="s">
        <v>558</v>
      </c>
      <c r="F48" s="2" t="s">
        <v>601</v>
      </c>
      <c r="G48" s="2" t="s">
        <v>602</v>
      </c>
      <c r="H48" s="2" t="s">
        <v>603</v>
      </c>
      <c r="I48" s="7" t="s">
        <v>346</v>
      </c>
      <c r="J48" s="2">
        <v>55</v>
      </c>
      <c r="K48" s="2">
        <v>37.5</v>
      </c>
      <c r="L48" s="2">
        <v>36</v>
      </c>
      <c r="M48" s="2">
        <f t="shared" si="0"/>
        <v>128.5</v>
      </c>
      <c r="N48" s="2">
        <v>0</v>
      </c>
      <c r="O48" s="7" t="s">
        <v>79</v>
      </c>
      <c r="P48" s="7" t="s">
        <v>79</v>
      </c>
      <c r="Q48" s="7" t="s">
        <v>79</v>
      </c>
      <c r="R48" s="7" t="s">
        <v>113</v>
      </c>
      <c r="S48" t="s">
        <v>113</v>
      </c>
      <c r="T48" s="7" t="str" cm="1">
        <f t="array" ref="T48">IF(ISNUMBER(MATCH(TRIM(A48)&amp;"", _xlfn._xlws.FILTER(TRIM(Project_Scores!$D$2:$D$300)&amp;"", Project_Scores!$I$2:$I$300=TRUE, ""), 0)), "حاضر", "غائب")</f>
        <v>غائب</v>
      </c>
      <c r="U48" s="2" t="str">
        <f t="shared" si="1"/>
        <v>3 من 6</v>
      </c>
      <c r="V48" s="21">
        <f t="shared" si="2"/>
        <v>0.5</v>
      </c>
      <c r="W48" s="2">
        <f t="shared" si="3"/>
        <v>128.5</v>
      </c>
      <c r="X48" s="2">
        <v>158.5</v>
      </c>
      <c r="Y48" s="2">
        <f t="shared" si="4"/>
        <v>3</v>
      </c>
      <c r="Z48" s="2">
        <f t="shared" si="5"/>
        <v>6</v>
      </c>
      <c r="AA48">
        <f t="shared" si="6"/>
        <v>161.5</v>
      </c>
    </row>
    <row r="49" spans="1:27" ht="15.7" customHeight="1" x14ac:dyDescent="0.4">
      <c r="A49" s="2" t="s">
        <v>256</v>
      </c>
      <c r="B49" s="7" t="s">
        <v>255</v>
      </c>
      <c r="C49" s="2" t="s">
        <v>256</v>
      </c>
      <c r="D49" s="2" t="s">
        <v>105</v>
      </c>
      <c r="E49" s="2" t="s">
        <v>608</v>
      </c>
      <c r="F49" s="2" t="s">
        <v>609</v>
      </c>
      <c r="G49" s="2" t="s">
        <v>610</v>
      </c>
      <c r="H49" s="2" t="s">
        <v>611</v>
      </c>
      <c r="I49" s="7" t="s">
        <v>219</v>
      </c>
      <c r="J49" s="2">
        <v>38</v>
      </c>
      <c r="K49" s="2">
        <v>40</v>
      </c>
      <c r="L49" s="2">
        <v>20</v>
      </c>
      <c r="M49" s="2">
        <f t="shared" si="0"/>
        <v>98</v>
      </c>
      <c r="N49" s="2">
        <v>12</v>
      </c>
      <c r="O49" s="7" t="s">
        <v>79</v>
      </c>
      <c r="P49" s="7" t="s">
        <v>79</v>
      </c>
      <c r="Q49" s="7" t="s">
        <v>79</v>
      </c>
      <c r="R49" s="7" t="s">
        <v>79</v>
      </c>
      <c r="S49" t="s">
        <v>113</v>
      </c>
      <c r="T49" s="7" t="str" cm="1">
        <f t="array" ref="T49">IF(ISNUMBER(MATCH(TRIM(A49)&amp;"", _xlfn._xlws.FILTER(TRIM(Project_Scores!$D$2:$D$300)&amp;"", Project_Scores!$I$2:$I$300=TRUE, ""), 0)), "حاضر", "غائب")</f>
        <v>غائب</v>
      </c>
      <c r="U49" s="2" t="str">
        <f t="shared" si="1"/>
        <v>4 من 6</v>
      </c>
      <c r="V49" s="21">
        <f t="shared" si="2"/>
        <v>0.66666666666666663</v>
      </c>
      <c r="W49" s="2">
        <f t="shared" si="3"/>
        <v>110</v>
      </c>
      <c r="X49" s="2">
        <v>150</v>
      </c>
      <c r="Y49" s="2">
        <f t="shared" si="4"/>
        <v>4</v>
      </c>
      <c r="Z49" s="2">
        <f t="shared" si="5"/>
        <v>6</v>
      </c>
      <c r="AA49">
        <f t="shared" si="6"/>
        <v>154</v>
      </c>
    </row>
    <row r="50" spans="1:27" ht="15.7" customHeight="1" x14ac:dyDescent="0.4">
      <c r="A50" s="2" t="s">
        <v>328</v>
      </c>
      <c r="B50" s="7" t="s">
        <v>327</v>
      </c>
      <c r="C50" s="2" t="s">
        <v>328</v>
      </c>
      <c r="D50" s="2" t="s">
        <v>137</v>
      </c>
      <c r="E50" s="2" t="s">
        <v>558</v>
      </c>
      <c r="F50" s="2" t="s">
        <v>619</v>
      </c>
      <c r="G50" s="2" t="s">
        <v>620</v>
      </c>
      <c r="H50" s="2" t="s">
        <v>621</v>
      </c>
      <c r="I50" s="7" t="s">
        <v>483</v>
      </c>
      <c r="J50" s="2">
        <v>55</v>
      </c>
      <c r="K50" s="2">
        <v>45</v>
      </c>
      <c r="L50" s="2">
        <v>40</v>
      </c>
      <c r="M50" s="2">
        <f t="shared" si="0"/>
        <v>140</v>
      </c>
      <c r="N50" s="2">
        <v>6</v>
      </c>
      <c r="O50" s="7" t="s">
        <v>79</v>
      </c>
      <c r="P50" s="7" t="s">
        <v>79</v>
      </c>
      <c r="Q50" s="7" t="s">
        <v>79</v>
      </c>
      <c r="R50" s="7" t="s">
        <v>79</v>
      </c>
      <c r="S50" t="s">
        <v>79</v>
      </c>
      <c r="T50" s="7" t="str" cm="1">
        <f t="array" ref="T50">IF(ISNUMBER(MATCH(TRIM(A50)&amp;"", _xlfn._xlws.FILTER(TRIM(Project_Scores!$D$2:$D$300)&amp;"", Project_Scores!$I$2:$I$300=TRUE, ""), 0)), "حاضر", "غائب")</f>
        <v>غائب</v>
      </c>
      <c r="U50" s="2" t="str">
        <f t="shared" si="1"/>
        <v>5 من 6</v>
      </c>
      <c r="V50" s="21">
        <f t="shared" si="2"/>
        <v>0.83333333333333337</v>
      </c>
      <c r="W50" s="2">
        <f t="shared" si="3"/>
        <v>146</v>
      </c>
      <c r="X50" s="2">
        <v>186</v>
      </c>
      <c r="Y50" s="2">
        <f t="shared" si="4"/>
        <v>5</v>
      </c>
      <c r="Z50" s="2">
        <f t="shared" si="5"/>
        <v>6</v>
      </c>
      <c r="AA50">
        <f t="shared" si="6"/>
        <v>191</v>
      </c>
    </row>
    <row r="51" spans="1:27" ht="15.7" customHeight="1" x14ac:dyDescent="0.4">
      <c r="A51" s="2" t="s">
        <v>551</v>
      </c>
      <c r="B51" s="7" t="s">
        <v>624</v>
      </c>
      <c r="C51" s="2" t="s">
        <v>551</v>
      </c>
      <c r="D51" s="2" t="s">
        <v>137</v>
      </c>
      <c r="E51" s="2" t="s">
        <v>138</v>
      </c>
      <c r="F51" s="2" t="s">
        <v>625</v>
      </c>
      <c r="G51" s="2" t="s">
        <v>626</v>
      </c>
      <c r="H51" s="2" t="s">
        <v>627</v>
      </c>
      <c r="I51" s="7" t="s">
        <v>483</v>
      </c>
      <c r="J51" s="2">
        <v>0</v>
      </c>
      <c r="K51" s="2">
        <v>0</v>
      </c>
      <c r="L51" s="2">
        <v>0</v>
      </c>
      <c r="M51" s="2">
        <f t="shared" si="0"/>
        <v>0</v>
      </c>
      <c r="N51" s="2">
        <v>5</v>
      </c>
      <c r="O51" s="7" t="s">
        <v>79</v>
      </c>
      <c r="P51" s="7" t="s">
        <v>79</v>
      </c>
      <c r="Q51" s="7" t="s">
        <v>79</v>
      </c>
      <c r="R51" s="7" t="s">
        <v>79</v>
      </c>
      <c r="S51" t="s">
        <v>79</v>
      </c>
      <c r="T51" s="7" t="str" cm="1">
        <f t="array" ref="T51">IF(ISNUMBER(MATCH(TRIM(A51)&amp;"", _xlfn._xlws.FILTER(TRIM(Project_Scores!$D$2:$D$300)&amp;"", Project_Scores!$I$2:$I$300=TRUE, ""), 0)), "حاضر", "غائب")</f>
        <v>غائب</v>
      </c>
      <c r="U51" s="2" t="str">
        <f t="shared" si="1"/>
        <v>5 من 6</v>
      </c>
      <c r="V51" s="21">
        <f t="shared" si="2"/>
        <v>0.83333333333333337</v>
      </c>
      <c r="W51" s="2">
        <f t="shared" si="3"/>
        <v>5</v>
      </c>
      <c r="X51" s="2">
        <v>45</v>
      </c>
      <c r="Y51" s="2">
        <f t="shared" si="4"/>
        <v>5</v>
      </c>
      <c r="Z51" s="2">
        <f t="shared" si="5"/>
        <v>6</v>
      </c>
      <c r="AA51">
        <f t="shared" si="6"/>
        <v>50</v>
      </c>
    </row>
    <row r="52" spans="1:27" ht="15.7" customHeight="1" x14ac:dyDescent="0.4">
      <c r="A52" s="2" t="s">
        <v>629</v>
      </c>
      <c r="B52" s="7" t="s">
        <v>630</v>
      </c>
      <c r="C52" s="2" t="s">
        <v>629</v>
      </c>
      <c r="D52" s="2" t="s">
        <v>137</v>
      </c>
      <c r="E52" s="2" t="s">
        <v>417</v>
      </c>
      <c r="F52" s="2" t="s">
        <v>633</v>
      </c>
      <c r="G52" s="2" t="s">
        <v>634</v>
      </c>
      <c r="H52" s="2" t="s">
        <v>635</v>
      </c>
      <c r="I52" s="7" t="s">
        <v>430</v>
      </c>
      <c r="J52" s="2">
        <v>39</v>
      </c>
      <c r="K52" s="2">
        <v>25</v>
      </c>
      <c r="L52" s="2">
        <v>15</v>
      </c>
      <c r="M52" s="2">
        <f t="shared" si="0"/>
        <v>79</v>
      </c>
      <c r="N52" s="2">
        <v>0</v>
      </c>
      <c r="O52" s="7" t="s">
        <v>79</v>
      </c>
      <c r="P52" s="7" t="s">
        <v>162</v>
      </c>
      <c r="Q52" s="7" t="s">
        <v>79</v>
      </c>
      <c r="R52" s="7" t="s">
        <v>79</v>
      </c>
      <c r="S52" t="s">
        <v>79</v>
      </c>
      <c r="T52" s="7" t="str" cm="1">
        <f t="array" ref="T52">IF(ISNUMBER(MATCH(TRIM(A52)&amp;"", _xlfn._xlws.FILTER(TRIM(Project_Scores!$D$2:$D$300)&amp;"", Project_Scores!$I$2:$I$300=TRUE, ""), 0)), "حاضر", "غائب")</f>
        <v>غائب</v>
      </c>
      <c r="U52" s="2" t="str">
        <f t="shared" si="1"/>
        <v>4 من 6</v>
      </c>
      <c r="V52" s="21">
        <f t="shared" si="2"/>
        <v>0.66666666666666663</v>
      </c>
      <c r="W52" s="2">
        <f t="shared" si="3"/>
        <v>79</v>
      </c>
      <c r="X52" s="2">
        <v>109</v>
      </c>
      <c r="Y52" s="2">
        <f t="shared" si="4"/>
        <v>4</v>
      </c>
      <c r="Z52" s="2">
        <f t="shared" si="5"/>
        <v>6</v>
      </c>
      <c r="AA52">
        <f t="shared" si="6"/>
        <v>113.5</v>
      </c>
    </row>
    <row r="53" spans="1:27" ht="15.7" customHeight="1" x14ac:dyDescent="0.4">
      <c r="A53" s="2" t="s">
        <v>383</v>
      </c>
      <c r="B53" s="7" t="s">
        <v>641</v>
      </c>
      <c r="C53" s="2" t="s">
        <v>383</v>
      </c>
      <c r="D53" s="2" t="s">
        <v>105</v>
      </c>
      <c r="E53" s="2" t="s">
        <v>642</v>
      </c>
      <c r="F53" s="2" t="s">
        <v>644</v>
      </c>
      <c r="G53" s="2" t="s">
        <v>646</v>
      </c>
      <c r="H53" s="2" t="s">
        <v>647</v>
      </c>
      <c r="I53" s="7" t="s">
        <v>430</v>
      </c>
      <c r="J53" s="2">
        <v>40</v>
      </c>
      <c r="K53" s="2">
        <v>25</v>
      </c>
      <c r="L53" s="2">
        <v>15</v>
      </c>
      <c r="M53" s="2">
        <f t="shared" si="0"/>
        <v>80</v>
      </c>
      <c r="N53" s="2">
        <v>0</v>
      </c>
      <c r="O53" s="7" t="s">
        <v>79</v>
      </c>
      <c r="P53" s="7" t="s">
        <v>79</v>
      </c>
      <c r="Q53" s="7" t="s">
        <v>79</v>
      </c>
      <c r="R53" s="7" t="s">
        <v>79</v>
      </c>
      <c r="S53" t="s">
        <v>79</v>
      </c>
      <c r="T53" s="7" t="str" cm="1">
        <f t="array" ref="T53">IF(ISNUMBER(MATCH(TRIM(A53)&amp;"", _xlfn._xlws.FILTER(TRIM(Project_Scores!$D$2:$D$300)&amp;"", Project_Scores!$I$2:$I$300=TRUE, ""), 0)), "حاضر", "غائب")</f>
        <v>غائب</v>
      </c>
      <c r="U53" s="2" t="str">
        <f t="shared" si="1"/>
        <v>5 من 6</v>
      </c>
      <c r="V53" s="21">
        <f t="shared" si="2"/>
        <v>0.83333333333333337</v>
      </c>
      <c r="W53" s="2">
        <f t="shared" si="3"/>
        <v>80</v>
      </c>
      <c r="X53" s="2">
        <v>120</v>
      </c>
      <c r="Y53" s="2">
        <f t="shared" si="4"/>
        <v>5</v>
      </c>
      <c r="Z53" s="2">
        <f t="shared" si="5"/>
        <v>6</v>
      </c>
      <c r="AA53">
        <f t="shared" si="6"/>
        <v>125</v>
      </c>
    </row>
    <row r="54" spans="1:27" ht="15.7" customHeight="1" x14ac:dyDescent="0.4">
      <c r="A54" s="2" t="s">
        <v>67</v>
      </c>
      <c r="B54" s="7" t="s">
        <v>649</v>
      </c>
      <c r="C54" s="2" t="s">
        <v>67</v>
      </c>
      <c r="D54" s="2" t="s">
        <v>39</v>
      </c>
      <c r="E54" s="2" t="s">
        <v>650</v>
      </c>
      <c r="F54" s="2" t="s">
        <v>85</v>
      </c>
      <c r="G54" s="2" t="s">
        <v>651</v>
      </c>
      <c r="H54" s="2" t="s">
        <v>84</v>
      </c>
      <c r="I54" s="2" t="s">
        <v>553</v>
      </c>
      <c r="J54" s="2">
        <v>50</v>
      </c>
      <c r="K54" s="2">
        <v>40</v>
      </c>
      <c r="L54" s="2">
        <v>35</v>
      </c>
      <c r="M54" s="2">
        <f t="shared" si="0"/>
        <v>125</v>
      </c>
      <c r="N54" s="2">
        <v>6</v>
      </c>
      <c r="O54" s="7" t="s">
        <v>79</v>
      </c>
      <c r="P54" s="7" t="s">
        <v>79</v>
      </c>
      <c r="Q54" s="7" t="s">
        <v>79</v>
      </c>
      <c r="R54" s="7" t="s">
        <v>79</v>
      </c>
      <c r="S54" t="s">
        <v>79</v>
      </c>
      <c r="T54" s="7" t="str" cm="1">
        <f t="array" ref="T54">IF(ISNUMBER(MATCH(TRIM(A54)&amp;"", _xlfn._xlws.FILTER(TRIM(Project_Scores!$D$2:$D$300)&amp;"", Project_Scores!$I$2:$I$300=TRUE, ""), 0)), "حاضر", "غائب")</f>
        <v>غائب</v>
      </c>
      <c r="U54" s="2" t="str">
        <f t="shared" si="1"/>
        <v>5 من 6</v>
      </c>
      <c r="V54" s="21">
        <f t="shared" si="2"/>
        <v>0.83333333333333337</v>
      </c>
      <c r="W54" s="2">
        <f t="shared" si="3"/>
        <v>131</v>
      </c>
      <c r="X54" s="2">
        <v>171</v>
      </c>
      <c r="Y54" s="2">
        <f t="shared" si="4"/>
        <v>5</v>
      </c>
      <c r="Z54" s="2">
        <f t="shared" si="5"/>
        <v>6</v>
      </c>
      <c r="AA54">
        <f t="shared" si="6"/>
        <v>176</v>
      </c>
    </row>
    <row r="55" spans="1:27" ht="15.7" customHeight="1" x14ac:dyDescent="0.4">
      <c r="A55" s="2" t="s">
        <v>656</v>
      </c>
      <c r="B55" s="7" t="s">
        <v>657</v>
      </c>
      <c r="C55" s="2" t="s">
        <v>656</v>
      </c>
      <c r="D55" s="2" t="s">
        <v>137</v>
      </c>
      <c r="E55" s="2" t="s">
        <v>558</v>
      </c>
      <c r="F55" s="2" t="s">
        <v>658</v>
      </c>
      <c r="G55" s="2" t="s">
        <v>659</v>
      </c>
      <c r="H55" s="2" t="s">
        <v>660</v>
      </c>
      <c r="I55" s="7" t="s">
        <v>160</v>
      </c>
      <c r="J55" s="2">
        <v>54</v>
      </c>
      <c r="K55" s="2">
        <v>44</v>
      </c>
      <c r="L55" s="2">
        <v>43</v>
      </c>
      <c r="M55" s="2">
        <f t="shared" si="0"/>
        <v>141</v>
      </c>
      <c r="N55" s="2">
        <v>0</v>
      </c>
      <c r="O55" s="7" t="s">
        <v>79</v>
      </c>
      <c r="P55" s="7" t="s">
        <v>113</v>
      </c>
      <c r="Q55" s="7" t="s">
        <v>79</v>
      </c>
      <c r="R55" s="7" t="s">
        <v>79</v>
      </c>
      <c r="S55" t="s">
        <v>79</v>
      </c>
      <c r="T55" s="7" t="str" cm="1">
        <f t="array" ref="T55">IF(ISNUMBER(MATCH(TRIM(A55)&amp;"", _xlfn._xlws.FILTER(TRIM(Project_Scores!$D$2:$D$300)&amp;"", Project_Scores!$I$2:$I$300=TRUE, ""), 0)), "حاضر", "غائب")</f>
        <v>غائب</v>
      </c>
      <c r="U55" s="2" t="str">
        <f t="shared" si="1"/>
        <v>4 من 6</v>
      </c>
      <c r="V55" s="21">
        <f t="shared" si="2"/>
        <v>0.66666666666666663</v>
      </c>
      <c r="W55" s="2">
        <f t="shared" si="3"/>
        <v>141</v>
      </c>
      <c r="X55" s="2">
        <v>171</v>
      </c>
      <c r="Y55" s="2">
        <f t="shared" si="4"/>
        <v>4</v>
      </c>
      <c r="Z55" s="2">
        <f t="shared" si="5"/>
        <v>6</v>
      </c>
      <c r="AA55">
        <f t="shared" si="6"/>
        <v>175</v>
      </c>
    </row>
    <row r="56" spans="1:27" ht="15.7" customHeight="1" x14ac:dyDescent="0.4">
      <c r="A56" s="2" t="s">
        <v>665</v>
      </c>
      <c r="B56" s="7" t="s">
        <v>666</v>
      </c>
      <c r="C56" s="2" t="s">
        <v>665</v>
      </c>
      <c r="D56" s="2" t="s">
        <v>105</v>
      </c>
      <c r="E56" s="2" t="s">
        <v>558</v>
      </c>
      <c r="F56" s="2" t="s">
        <v>667</v>
      </c>
      <c r="G56" s="2" t="s">
        <v>668</v>
      </c>
      <c r="H56" s="2" t="s">
        <v>669</v>
      </c>
      <c r="I56" s="7" t="s">
        <v>53</v>
      </c>
      <c r="J56" s="2">
        <v>45</v>
      </c>
      <c r="K56" s="2">
        <v>0</v>
      </c>
      <c r="L56" s="2">
        <v>0</v>
      </c>
      <c r="M56" s="2">
        <f t="shared" si="0"/>
        <v>45</v>
      </c>
      <c r="N56" s="2">
        <v>13</v>
      </c>
      <c r="O56" s="7" t="s">
        <v>79</v>
      </c>
      <c r="P56" s="7" t="s">
        <v>79</v>
      </c>
      <c r="Q56" s="7" t="s">
        <v>79</v>
      </c>
      <c r="R56" s="7" t="s">
        <v>113</v>
      </c>
      <c r="S56" t="s">
        <v>79</v>
      </c>
      <c r="T56" s="7" t="str" cm="1">
        <f t="array" ref="T56">IF(ISNUMBER(MATCH(TRIM(A56)&amp;"", _xlfn._xlws.FILTER(TRIM(Project_Scores!$D$2:$D$300)&amp;"", Project_Scores!$I$2:$I$300=TRUE, ""), 0)), "حاضر", "غائب")</f>
        <v>غائب</v>
      </c>
      <c r="U56" s="2" t="str">
        <f t="shared" si="1"/>
        <v>4 من 6</v>
      </c>
      <c r="V56" s="21">
        <f t="shared" si="2"/>
        <v>0.66666666666666663</v>
      </c>
      <c r="W56" s="2">
        <f t="shared" si="3"/>
        <v>58</v>
      </c>
      <c r="X56" s="2">
        <v>88</v>
      </c>
      <c r="Y56" s="2">
        <f t="shared" si="4"/>
        <v>4</v>
      </c>
      <c r="Z56" s="2">
        <f t="shared" si="5"/>
        <v>6</v>
      </c>
      <c r="AA56">
        <f t="shared" si="6"/>
        <v>92</v>
      </c>
    </row>
    <row r="57" spans="1:27" ht="15.7" customHeight="1" x14ac:dyDescent="0.4">
      <c r="A57" s="2" t="s">
        <v>504</v>
      </c>
      <c r="B57" s="7" t="s">
        <v>503</v>
      </c>
      <c r="C57" s="2" t="s">
        <v>504</v>
      </c>
      <c r="D57" s="2" t="s">
        <v>39</v>
      </c>
      <c r="E57" s="2" t="s">
        <v>671</v>
      </c>
      <c r="F57" s="2" t="s">
        <v>672</v>
      </c>
      <c r="G57" s="2" t="s">
        <v>673</v>
      </c>
      <c r="H57" s="2" t="s">
        <v>674</v>
      </c>
      <c r="I57" s="2" t="s">
        <v>553</v>
      </c>
      <c r="J57" s="2">
        <v>47.5</v>
      </c>
      <c r="K57" s="2">
        <v>32</v>
      </c>
      <c r="L57" s="2">
        <v>35</v>
      </c>
      <c r="M57" s="2">
        <f t="shared" si="0"/>
        <v>114.5</v>
      </c>
      <c r="N57" s="2">
        <v>6</v>
      </c>
      <c r="O57" s="7" t="s">
        <v>79</v>
      </c>
      <c r="P57" s="7" t="s">
        <v>79</v>
      </c>
      <c r="Q57" s="7" t="s">
        <v>79</v>
      </c>
      <c r="R57" s="7" t="s">
        <v>79</v>
      </c>
      <c r="S57" t="s">
        <v>79</v>
      </c>
      <c r="T57" s="7" t="str" cm="1">
        <f t="array" ref="T57">IF(ISNUMBER(MATCH(TRIM(A57)&amp;"", _xlfn._xlws.FILTER(TRIM(Project_Scores!$D$2:$D$300)&amp;"", Project_Scores!$I$2:$I$300=TRUE, ""), 0)), "حاضر", "غائب")</f>
        <v>غائب</v>
      </c>
      <c r="U57" s="2" t="str">
        <f t="shared" si="1"/>
        <v>5 من 6</v>
      </c>
      <c r="V57" s="21">
        <f t="shared" si="2"/>
        <v>0.83333333333333337</v>
      </c>
      <c r="W57" s="2">
        <f t="shared" si="3"/>
        <v>120.5</v>
      </c>
      <c r="X57" s="2">
        <v>160.5</v>
      </c>
      <c r="Y57" s="2">
        <f t="shared" si="4"/>
        <v>5</v>
      </c>
      <c r="Z57" s="2">
        <f t="shared" si="5"/>
        <v>6</v>
      </c>
      <c r="AA57">
        <f t="shared" si="6"/>
        <v>165.5</v>
      </c>
    </row>
    <row r="58" spans="1:27" ht="15.7" customHeight="1" x14ac:dyDescent="0.4">
      <c r="A58" s="2" t="s">
        <v>110</v>
      </c>
      <c r="B58" s="7" t="s">
        <v>107</v>
      </c>
      <c r="C58" s="2" t="s">
        <v>110</v>
      </c>
      <c r="D58" s="2" t="s">
        <v>39</v>
      </c>
      <c r="E58" s="2" t="s">
        <v>676</v>
      </c>
      <c r="F58" s="2" t="s">
        <v>235</v>
      </c>
      <c r="G58" s="2" t="s">
        <v>678</v>
      </c>
      <c r="H58" s="2" t="s">
        <v>679</v>
      </c>
      <c r="I58" s="7" t="s">
        <v>346</v>
      </c>
      <c r="J58" s="2">
        <v>45.5</v>
      </c>
      <c r="K58" s="2">
        <v>42.5</v>
      </c>
      <c r="L58" s="2">
        <v>15</v>
      </c>
      <c r="M58" s="2">
        <f t="shared" si="0"/>
        <v>103</v>
      </c>
      <c r="N58" s="2">
        <v>0</v>
      </c>
      <c r="O58" s="7" t="s">
        <v>79</v>
      </c>
      <c r="P58" s="7" t="s">
        <v>79</v>
      </c>
      <c r="Q58" s="7" t="s">
        <v>79</v>
      </c>
      <c r="R58" s="7" t="s">
        <v>113</v>
      </c>
      <c r="S58" t="s">
        <v>79</v>
      </c>
      <c r="T58" s="7" t="str" cm="1">
        <f t="array" ref="T58">IF(ISNUMBER(MATCH(TRIM(A58)&amp;"", _xlfn._xlws.FILTER(TRIM(Project_Scores!$D$2:$D$300)&amp;"", Project_Scores!$I$2:$I$300=TRUE, ""), 0)), "حاضر", "غائب")</f>
        <v>غائب</v>
      </c>
      <c r="U58" s="2" t="str">
        <f t="shared" si="1"/>
        <v>4 من 6</v>
      </c>
      <c r="V58" s="21">
        <f t="shared" si="2"/>
        <v>0.66666666666666663</v>
      </c>
      <c r="W58" s="2">
        <f t="shared" si="3"/>
        <v>103</v>
      </c>
      <c r="X58" s="2">
        <v>133</v>
      </c>
      <c r="Y58" s="2">
        <f t="shared" si="4"/>
        <v>4</v>
      </c>
      <c r="Z58" s="2">
        <f t="shared" si="5"/>
        <v>6</v>
      </c>
      <c r="AA58">
        <f t="shared" si="6"/>
        <v>137</v>
      </c>
    </row>
    <row r="59" spans="1:27" ht="15.7" customHeight="1" x14ac:dyDescent="0.4">
      <c r="A59" s="2" t="s">
        <v>252</v>
      </c>
      <c r="B59" s="7" t="s">
        <v>682</v>
      </c>
      <c r="C59" s="2" t="s">
        <v>252</v>
      </c>
      <c r="D59" s="2" t="s">
        <v>105</v>
      </c>
      <c r="E59" s="2" t="s">
        <v>683</v>
      </c>
      <c r="F59" s="2" t="s">
        <v>653</v>
      </c>
      <c r="G59" s="2" t="s">
        <v>684</v>
      </c>
      <c r="H59" s="2" t="s">
        <v>652</v>
      </c>
      <c r="I59" s="7" t="s">
        <v>132</v>
      </c>
      <c r="J59" s="2">
        <v>55</v>
      </c>
      <c r="K59" s="2">
        <v>35</v>
      </c>
      <c r="L59" s="2">
        <v>35</v>
      </c>
      <c r="M59" s="2">
        <f t="shared" si="0"/>
        <v>125</v>
      </c>
      <c r="N59" s="2">
        <v>2</v>
      </c>
      <c r="O59" s="7" t="s">
        <v>79</v>
      </c>
      <c r="P59" s="7" t="s">
        <v>79</v>
      </c>
      <c r="Q59" s="7" t="s">
        <v>79</v>
      </c>
      <c r="R59" s="7" t="s">
        <v>79</v>
      </c>
      <c r="S59" t="s">
        <v>79</v>
      </c>
      <c r="T59" s="7" t="str" cm="1">
        <f t="array" ref="T59">IF(ISNUMBER(MATCH(TRIM(A59)&amp;"", _xlfn._xlws.FILTER(TRIM(Project_Scores!$D$2:$D$300)&amp;"", Project_Scores!$I$2:$I$300=TRUE, ""), 0)), "حاضر", "غائب")</f>
        <v>غائب</v>
      </c>
      <c r="U59" s="2" t="str">
        <f t="shared" si="1"/>
        <v>5 من 6</v>
      </c>
      <c r="V59" s="21">
        <f t="shared" si="2"/>
        <v>0.83333333333333337</v>
      </c>
      <c r="W59" s="2">
        <f t="shared" si="3"/>
        <v>127</v>
      </c>
      <c r="X59" s="2">
        <v>167</v>
      </c>
      <c r="Y59" s="2">
        <f t="shared" si="4"/>
        <v>5</v>
      </c>
      <c r="Z59" s="2">
        <f t="shared" si="5"/>
        <v>6</v>
      </c>
      <c r="AA59">
        <f t="shared" si="6"/>
        <v>172</v>
      </c>
    </row>
    <row r="60" spans="1:27" ht="15.7" customHeight="1" x14ac:dyDescent="0.4">
      <c r="A60" s="2" t="s">
        <v>173</v>
      </c>
      <c r="B60" s="7" t="s">
        <v>687</v>
      </c>
      <c r="C60" s="2" t="s">
        <v>173</v>
      </c>
      <c r="D60" s="2" t="s">
        <v>39</v>
      </c>
      <c r="E60" s="2" t="s">
        <v>688</v>
      </c>
      <c r="F60" s="2" t="s">
        <v>339</v>
      </c>
      <c r="G60" s="2" t="s">
        <v>689</v>
      </c>
      <c r="H60" s="2" t="s">
        <v>338</v>
      </c>
      <c r="I60" s="7" t="s">
        <v>564</v>
      </c>
      <c r="J60" s="2">
        <v>55</v>
      </c>
      <c r="K60" s="2">
        <v>22</v>
      </c>
      <c r="L60" s="2">
        <v>15</v>
      </c>
      <c r="M60" s="2">
        <f t="shared" si="0"/>
        <v>92</v>
      </c>
      <c r="N60" s="2">
        <v>0</v>
      </c>
      <c r="O60" s="7" t="s">
        <v>79</v>
      </c>
      <c r="P60" s="7" t="s">
        <v>79</v>
      </c>
      <c r="Q60" s="7" t="s">
        <v>79</v>
      </c>
      <c r="R60" s="7" t="s">
        <v>79</v>
      </c>
      <c r="S60" t="s">
        <v>79</v>
      </c>
      <c r="T60" s="7" t="str" cm="1">
        <f t="array" ref="T60">IF(ISNUMBER(MATCH(TRIM(A60)&amp;"", _xlfn._xlws.FILTER(TRIM(Project_Scores!$D$2:$D$300)&amp;"", Project_Scores!$I$2:$I$300=TRUE, ""), 0)), "حاضر", "غائب")</f>
        <v>غائب</v>
      </c>
      <c r="U60" s="2" t="str">
        <f t="shared" si="1"/>
        <v>5 من 6</v>
      </c>
      <c r="V60" s="21">
        <f t="shared" si="2"/>
        <v>0.83333333333333337</v>
      </c>
      <c r="W60" s="2">
        <f t="shared" si="3"/>
        <v>92</v>
      </c>
      <c r="X60" s="2">
        <v>132</v>
      </c>
      <c r="Y60" s="2">
        <f t="shared" si="4"/>
        <v>5</v>
      </c>
      <c r="Z60" s="2">
        <f t="shared" si="5"/>
        <v>6</v>
      </c>
      <c r="AA60">
        <f t="shared" si="6"/>
        <v>137</v>
      </c>
    </row>
    <row r="61" spans="1:27" ht="15.7" customHeight="1" x14ac:dyDescent="0.4">
      <c r="A61" s="2" t="s">
        <v>588</v>
      </c>
      <c r="B61" s="7" t="s">
        <v>691</v>
      </c>
      <c r="C61" s="2" t="s">
        <v>588</v>
      </c>
      <c r="D61" s="2" t="s">
        <v>105</v>
      </c>
      <c r="E61" s="2" t="s">
        <v>558</v>
      </c>
      <c r="F61" s="2" t="s">
        <v>692</v>
      </c>
      <c r="G61" s="2" t="s">
        <v>693</v>
      </c>
      <c r="H61" s="2" t="s">
        <v>694</v>
      </c>
      <c r="I61" s="7" t="s">
        <v>564</v>
      </c>
      <c r="J61" s="2">
        <v>38</v>
      </c>
      <c r="K61" s="2">
        <v>40</v>
      </c>
      <c r="L61" s="2">
        <v>35</v>
      </c>
      <c r="M61" s="2">
        <f t="shared" si="0"/>
        <v>113</v>
      </c>
      <c r="N61" s="2">
        <v>0</v>
      </c>
      <c r="O61" s="7" t="s">
        <v>79</v>
      </c>
      <c r="P61" s="7" t="s">
        <v>79</v>
      </c>
      <c r="Q61" s="7" t="s">
        <v>79</v>
      </c>
      <c r="R61" s="7" t="s">
        <v>79</v>
      </c>
      <c r="S61" t="s">
        <v>113</v>
      </c>
      <c r="T61" s="7" t="str" cm="1">
        <f t="array" ref="T61">IF(ISNUMBER(MATCH(TRIM(A61)&amp;"", _xlfn._xlws.FILTER(TRIM(Project_Scores!$D$2:$D$300)&amp;"", Project_Scores!$I$2:$I$300=TRUE, ""), 0)), "حاضر", "غائب")</f>
        <v>غائب</v>
      </c>
      <c r="U61" s="2" t="str">
        <f t="shared" si="1"/>
        <v>4 من 6</v>
      </c>
      <c r="V61" s="21">
        <f t="shared" si="2"/>
        <v>0.66666666666666663</v>
      </c>
      <c r="W61" s="2">
        <f t="shared" si="3"/>
        <v>113</v>
      </c>
      <c r="X61" s="2">
        <v>153</v>
      </c>
      <c r="Y61" s="2">
        <f t="shared" si="4"/>
        <v>4</v>
      </c>
      <c r="Z61" s="2">
        <f t="shared" si="5"/>
        <v>6</v>
      </c>
      <c r="AA61">
        <f t="shared" si="6"/>
        <v>157</v>
      </c>
    </row>
    <row r="62" spans="1:27" ht="15.7" customHeight="1" x14ac:dyDescent="0.4">
      <c r="A62" s="2" t="s">
        <v>555</v>
      </c>
      <c r="B62" s="7" t="s">
        <v>554</v>
      </c>
      <c r="C62" s="2" t="s">
        <v>555</v>
      </c>
      <c r="D62" s="2" t="s">
        <v>105</v>
      </c>
      <c r="E62" s="2" t="s">
        <v>698</v>
      </c>
      <c r="F62" s="2" t="s">
        <v>699</v>
      </c>
      <c r="G62" s="2" t="s">
        <v>700</v>
      </c>
      <c r="H62" s="2" t="s">
        <v>701</v>
      </c>
      <c r="I62" s="7" t="s">
        <v>564</v>
      </c>
      <c r="J62" s="2">
        <v>0</v>
      </c>
      <c r="K62" s="2">
        <v>0</v>
      </c>
      <c r="L62" s="2">
        <v>0</v>
      </c>
      <c r="M62" s="2">
        <f t="shared" si="0"/>
        <v>0</v>
      </c>
      <c r="N62" s="2">
        <v>0</v>
      </c>
      <c r="O62" s="7" t="s">
        <v>79</v>
      </c>
      <c r="P62" s="7" t="s">
        <v>113</v>
      </c>
      <c r="Q62" s="7" t="s">
        <v>113</v>
      </c>
      <c r="R62" s="7" t="s">
        <v>113</v>
      </c>
      <c r="S62" t="s">
        <v>113</v>
      </c>
      <c r="T62" s="7" t="str" cm="1">
        <f t="array" ref="T62">IF(ISNUMBER(MATCH(TRIM(A62)&amp;"", _xlfn._xlws.FILTER(TRIM(Project_Scores!$D$2:$D$300)&amp;"", Project_Scores!$I$2:$I$300=TRUE, ""), 0)), "حاضر", "غائب")</f>
        <v>غائب</v>
      </c>
      <c r="U62" s="2" t="str">
        <f t="shared" si="1"/>
        <v>1 من 6</v>
      </c>
      <c r="V62" s="21">
        <f t="shared" si="2"/>
        <v>0.16666666666666666</v>
      </c>
      <c r="W62" s="2">
        <f t="shared" si="3"/>
        <v>0</v>
      </c>
      <c r="X62" s="2">
        <v>10</v>
      </c>
      <c r="Y62" s="2">
        <f t="shared" si="4"/>
        <v>1</v>
      </c>
      <c r="Z62" s="2">
        <f t="shared" si="5"/>
        <v>6</v>
      </c>
      <c r="AA62">
        <f t="shared" si="6"/>
        <v>11</v>
      </c>
    </row>
    <row r="63" spans="1:27" ht="15.7" customHeight="1" x14ac:dyDescent="0.4">
      <c r="A63" s="2" t="s">
        <v>578</v>
      </c>
      <c r="B63" s="7" t="s">
        <v>576</v>
      </c>
      <c r="C63" s="2" t="s">
        <v>578</v>
      </c>
      <c r="D63" s="2" t="s">
        <v>105</v>
      </c>
      <c r="E63" s="2" t="s">
        <v>706</v>
      </c>
      <c r="F63" s="2" t="s">
        <v>707</v>
      </c>
      <c r="G63" s="2" t="s">
        <v>708</v>
      </c>
      <c r="H63" s="2" t="s">
        <v>709</v>
      </c>
      <c r="I63" s="7" t="s">
        <v>564</v>
      </c>
      <c r="J63" s="2">
        <v>55</v>
      </c>
      <c r="K63" s="2">
        <v>45</v>
      </c>
      <c r="L63" s="2">
        <v>35</v>
      </c>
      <c r="M63" s="2">
        <f t="shared" si="0"/>
        <v>135</v>
      </c>
      <c r="N63" s="2">
        <v>0</v>
      </c>
      <c r="O63" s="7" t="s">
        <v>79</v>
      </c>
      <c r="P63" s="7" t="s">
        <v>79</v>
      </c>
      <c r="Q63" s="7" t="s">
        <v>79</v>
      </c>
      <c r="R63" s="7" t="s">
        <v>79</v>
      </c>
      <c r="S63" t="s">
        <v>79</v>
      </c>
      <c r="T63" s="7" t="str" cm="1">
        <f t="array" ref="T63">IF(ISNUMBER(MATCH(TRIM(A63)&amp;"", _xlfn._xlws.FILTER(TRIM(Project_Scores!$D$2:$D$300)&amp;"", Project_Scores!$I$2:$I$300=TRUE, ""), 0)), "حاضر", "غائب")</f>
        <v>غائب</v>
      </c>
      <c r="U63" s="2" t="str">
        <f t="shared" si="1"/>
        <v>5 من 6</v>
      </c>
      <c r="V63" s="21">
        <f t="shared" si="2"/>
        <v>0.83333333333333337</v>
      </c>
      <c r="W63" s="2">
        <f t="shared" si="3"/>
        <v>135</v>
      </c>
      <c r="X63" s="2">
        <v>175</v>
      </c>
      <c r="Y63" s="2">
        <f t="shared" si="4"/>
        <v>5</v>
      </c>
      <c r="Z63" s="2">
        <f t="shared" si="5"/>
        <v>6</v>
      </c>
      <c r="AA63">
        <f t="shared" si="6"/>
        <v>180</v>
      </c>
    </row>
    <row r="64" spans="1:27" ht="15.7" customHeight="1" x14ac:dyDescent="0.4">
      <c r="A64" s="2" t="s">
        <v>712</v>
      </c>
      <c r="B64" s="7" t="s">
        <v>713</v>
      </c>
      <c r="C64" s="2" t="s">
        <v>712</v>
      </c>
      <c r="D64" s="2" t="s">
        <v>39</v>
      </c>
      <c r="E64" s="2" t="s">
        <v>714</v>
      </c>
      <c r="F64" s="2" t="s">
        <v>715</v>
      </c>
      <c r="G64" s="2" t="s">
        <v>716</v>
      </c>
      <c r="H64" s="2" t="s">
        <v>717</v>
      </c>
      <c r="I64" s="7" t="s">
        <v>564</v>
      </c>
      <c r="J64" s="2">
        <v>0</v>
      </c>
      <c r="K64" s="2">
        <v>0</v>
      </c>
      <c r="L64" s="2">
        <v>0</v>
      </c>
      <c r="M64" s="2">
        <f t="shared" si="0"/>
        <v>0</v>
      </c>
      <c r="N64" s="2">
        <v>0</v>
      </c>
      <c r="O64" s="7" t="s">
        <v>113</v>
      </c>
      <c r="P64" s="7" t="s">
        <v>113</v>
      </c>
      <c r="Q64" s="7" t="s">
        <v>113</v>
      </c>
      <c r="R64" s="7" t="s">
        <v>113</v>
      </c>
      <c r="S64" t="s">
        <v>113</v>
      </c>
      <c r="T64" s="7" t="str" cm="1">
        <f t="array" ref="T64">IF(ISNUMBER(MATCH(TRIM(A64)&amp;"", _xlfn._xlws.FILTER(TRIM(Project_Scores!$D$2:$D$300)&amp;"", Project_Scores!$I$2:$I$300=TRUE, ""), 0)), "حاضر", "غائب")</f>
        <v>غائب</v>
      </c>
      <c r="U64" s="2" t="str">
        <f t="shared" si="1"/>
        <v>0 من 6</v>
      </c>
      <c r="V64" s="21">
        <f t="shared" si="2"/>
        <v>0</v>
      </c>
      <c r="W64" s="2">
        <f t="shared" si="3"/>
        <v>0</v>
      </c>
      <c r="X64" s="2">
        <v>0</v>
      </c>
      <c r="Y64" s="2">
        <f t="shared" si="4"/>
        <v>0</v>
      </c>
      <c r="Z64" s="2">
        <f t="shared" si="5"/>
        <v>6</v>
      </c>
      <c r="AA64">
        <f t="shared" si="6"/>
        <v>0</v>
      </c>
    </row>
    <row r="65" spans="1:27" ht="15.7" customHeight="1" x14ac:dyDescent="0.4">
      <c r="A65" s="2" t="s">
        <v>242</v>
      </c>
      <c r="B65" s="7" t="s">
        <v>721</v>
      </c>
      <c r="C65" s="2" t="s">
        <v>242</v>
      </c>
      <c r="D65" s="2" t="s">
        <v>39</v>
      </c>
      <c r="E65" s="2" t="s">
        <v>722</v>
      </c>
      <c r="F65" s="2" t="s">
        <v>598</v>
      </c>
      <c r="G65" s="2" t="s">
        <v>724</v>
      </c>
      <c r="H65" s="2" t="s">
        <v>597</v>
      </c>
      <c r="I65" s="7" t="s">
        <v>564</v>
      </c>
      <c r="J65" s="2">
        <v>40</v>
      </c>
      <c r="K65" s="2">
        <v>30</v>
      </c>
      <c r="L65" s="2">
        <v>5</v>
      </c>
      <c r="M65" s="2">
        <f t="shared" si="0"/>
        <v>75</v>
      </c>
      <c r="N65" s="2">
        <v>0</v>
      </c>
      <c r="O65" s="7" t="s">
        <v>79</v>
      </c>
      <c r="P65" s="7" t="s">
        <v>79</v>
      </c>
      <c r="Q65" s="7" t="s">
        <v>162</v>
      </c>
      <c r="R65" s="7" t="s">
        <v>79</v>
      </c>
      <c r="S65" t="s">
        <v>79</v>
      </c>
      <c r="T65" s="7" t="str" cm="1">
        <f t="array" ref="T65">IF(ISNUMBER(MATCH(TRIM(A65)&amp;"", _xlfn._xlws.FILTER(TRIM(Project_Scores!$D$2:$D$300)&amp;"", Project_Scores!$I$2:$I$300=TRUE, ""), 0)), "حاضر", "غائب")</f>
        <v>غائب</v>
      </c>
      <c r="U65" s="2" t="str">
        <f t="shared" si="1"/>
        <v>4 من 6</v>
      </c>
      <c r="V65" s="21">
        <f t="shared" si="2"/>
        <v>0.66666666666666663</v>
      </c>
      <c r="W65" s="2">
        <f t="shared" si="3"/>
        <v>75</v>
      </c>
      <c r="X65" s="2">
        <v>105</v>
      </c>
      <c r="Y65" s="2">
        <f t="shared" si="4"/>
        <v>4</v>
      </c>
      <c r="Z65" s="2">
        <f t="shared" si="5"/>
        <v>6</v>
      </c>
      <c r="AA65">
        <f t="shared" si="6"/>
        <v>109.5</v>
      </c>
    </row>
    <row r="66" spans="1:27" ht="15.7" customHeight="1" x14ac:dyDescent="0.4">
      <c r="A66" s="2" t="s">
        <v>725</v>
      </c>
      <c r="B66" s="7" t="s">
        <v>723</v>
      </c>
      <c r="C66" s="2" t="s">
        <v>725</v>
      </c>
      <c r="D66" s="2" t="s">
        <v>39</v>
      </c>
      <c r="E66" s="2" t="s">
        <v>728</v>
      </c>
      <c r="F66" s="2" t="s">
        <v>730</v>
      </c>
      <c r="G66" s="2" t="s">
        <v>731</v>
      </c>
      <c r="H66" s="2" t="s">
        <v>732</v>
      </c>
      <c r="I66" s="7" t="s">
        <v>483</v>
      </c>
      <c r="J66" s="2">
        <v>52</v>
      </c>
      <c r="K66" s="2">
        <v>35</v>
      </c>
      <c r="L66" s="2">
        <v>15</v>
      </c>
      <c r="M66" s="2">
        <f t="shared" si="0"/>
        <v>102</v>
      </c>
      <c r="N66" s="2">
        <v>0</v>
      </c>
      <c r="O66" s="7" t="s">
        <v>79</v>
      </c>
      <c r="P66" s="7" t="s">
        <v>79</v>
      </c>
      <c r="Q66" s="7" t="s">
        <v>79</v>
      </c>
      <c r="R66" s="7" t="s">
        <v>79</v>
      </c>
      <c r="S66" t="s">
        <v>79</v>
      </c>
      <c r="T66" s="7" t="str" cm="1">
        <f t="array" ref="T66">IF(ISNUMBER(MATCH(TRIM(A66)&amp;"", _xlfn._xlws.FILTER(TRIM(Project_Scores!$D$2:$D$300)&amp;"", Project_Scores!$I$2:$I$300=TRUE, ""), 0)), "حاضر", "غائب")</f>
        <v>غائب</v>
      </c>
      <c r="U66" s="2" t="str">
        <f t="shared" si="1"/>
        <v>5 من 6</v>
      </c>
      <c r="V66" s="21">
        <f t="shared" si="2"/>
        <v>0.83333333333333337</v>
      </c>
      <c r="W66" s="2">
        <f t="shared" si="3"/>
        <v>102</v>
      </c>
      <c r="X66" s="2">
        <v>142</v>
      </c>
      <c r="Y66" s="2">
        <f t="shared" si="4"/>
        <v>5</v>
      </c>
      <c r="Z66" s="2">
        <f t="shared" si="5"/>
        <v>6</v>
      </c>
      <c r="AA66">
        <f t="shared" si="6"/>
        <v>147</v>
      </c>
    </row>
    <row r="67" spans="1:27" ht="15.7" customHeight="1" x14ac:dyDescent="0.4">
      <c r="A67" s="2" t="s">
        <v>573</v>
      </c>
      <c r="B67" s="7" t="s">
        <v>802</v>
      </c>
      <c r="C67" s="2" t="s">
        <v>573</v>
      </c>
      <c r="D67" s="2" t="s">
        <v>105</v>
      </c>
      <c r="E67" s="2" t="s">
        <v>558</v>
      </c>
      <c r="F67" s="2" t="s">
        <v>803</v>
      </c>
      <c r="G67" s="2" t="s">
        <v>804</v>
      </c>
      <c r="H67" s="2" t="s">
        <v>805</v>
      </c>
      <c r="I67" s="7" t="s">
        <v>199</v>
      </c>
      <c r="J67" s="2">
        <v>55</v>
      </c>
      <c r="K67" s="2">
        <v>45</v>
      </c>
      <c r="L67" s="2">
        <v>34</v>
      </c>
      <c r="M67" s="2">
        <f t="shared" si="0"/>
        <v>134</v>
      </c>
      <c r="N67" s="2">
        <v>2</v>
      </c>
      <c r="O67" s="7" t="s">
        <v>79</v>
      </c>
      <c r="P67" s="7" t="s">
        <v>79</v>
      </c>
      <c r="Q67" s="7" t="s">
        <v>79</v>
      </c>
      <c r="R67" s="7" t="s">
        <v>79</v>
      </c>
      <c r="S67" t="s">
        <v>113</v>
      </c>
      <c r="T67" s="7" t="str" cm="1">
        <f t="array" ref="T67">IF(ISNUMBER(MATCH(TRIM(A67)&amp;"", _xlfn._xlws.FILTER(TRIM(Project_Scores!$D$2:$D$300)&amp;"", Project_Scores!$I$2:$I$300=TRUE, ""), 0)), "حاضر", "غائب")</f>
        <v>غائب</v>
      </c>
      <c r="U67" s="2" t="str">
        <f t="shared" si="1"/>
        <v>4 من 6</v>
      </c>
      <c r="V67" s="21">
        <f t="shared" si="2"/>
        <v>0.66666666666666663</v>
      </c>
      <c r="W67" s="2">
        <f t="shared" si="3"/>
        <v>136</v>
      </c>
      <c r="X67" s="2">
        <v>176</v>
      </c>
      <c r="Y67" s="2">
        <f t="shared" si="4"/>
        <v>4</v>
      </c>
      <c r="Z67" s="2">
        <f t="shared" si="5"/>
        <v>6</v>
      </c>
      <c r="AA67">
        <f t="shared" ref="AA67:AA130" si="7">COUNTIF(O67:T67,"حاضر")+(COUNTIF(O67:T67,"مستأذن")*0.5)+X67</f>
        <v>180</v>
      </c>
    </row>
    <row r="68" spans="1:27" ht="15.7" customHeight="1" x14ac:dyDescent="0.4">
      <c r="A68" s="2" t="s">
        <v>743</v>
      </c>
      <c r="B68" s="7" t="s">
        <v>809</v>
      </c>
      <c r="C68" s="2" t="s">
        <v>743</v>
      </c>
      <c r="D68" s="2" t="s">
        <v>39</v>
      </c>
      <c r="E68" s="2" t="s">
        <v>410</v>
      </c>
      <c r="F68" s="2" t="s">
        <v>810</v>
      </c>
      <c r="G68" s="2" t="s">
        <v>811</v>
      </c>
      <c r="H68" s="2" t="s">
        <v>812</v>
      </c>
      <c r="I68" s="2" t="s">
        <v>553</v>
      </c>
      <c r="J68" s="2">
        <v>45</v>
      </c>
      <c r="K68" s="2">
        <v>45</v>
      </c>
      <c r="L68" s="2">
        <v>35</v>
      </c>
      <c r="M68" s="2">
        <f t="shared" si="0"/>
        <v>125</v>
      </c>
      <c r="N68" s="2">
        <v>4</v>
      </c>
      <c r="O68" s="7" t="s">
        <v>79</v>
      </c>
      <c r="P68" s="7" t="s">
        <v>79</v>
      </c>
      <c r="Q68" s="7" t="s">
        <v>79</v>
      </c>
      <c r="R68" s="7" t="s">
        <v>113</v>
      </c>
      <c r="S68" t="s">
        <v>79</v>
      </c>
      <c r="T68" s="7" t="str" cm="1">
        <f t="array" ref="T68">IF(ISNUMBER(MATCH(TRIM(A68)&amp;"", _xlfn._xlws.FILTER(TRIM(Project_Scores!$D$2:$D$300)&amp;"", Project_Scores!$I$2:$I$300=TRUE, ""), 0)), "حاضر", "غائب")</f>
        <v>غائب</v>
      </c>
      <c r="U68" s="2" t="str">
        <f t="shared" si="1"/>
        <v>4 من 6</v>
      </c>
      <c r="V68" s="21">
        <f t="shared" si="2"/>
        <v>0.66666666666666663</v>
      </c>
      <c r="W68" s="2">
        <f t="shared" si="3"/>
        <v>129</v>
      </c>
      <c r="X68" s="2">
        <v>159</v>
      </c>
      <c r="Y68" s="2">
        <f t="shared" si="4"/>
        <v>4</v>
      </c>
      <c r="Z68" s="2">
        <f t="shared" si="5"/>
        <v>6</v>
      </c>
      <c r="AA68">
        <f t="shared" si="7"/>
        <v>163</v>
      </c>
    </row>
    <row r="69" spans="1:27" ht="15.7" customHeight="1" x14ac:dyDescent="0.4">
      <c r="A69" s="2" t="s">
        <v>662</v>
      </c>
      <c r="B69" s="7" t="s">
        <v>813</v>
      </c>
      <c r="C69" s="2" t="s">
        <v>662</v>
      </c>
      <c r="D69" s="2" t="s">
        <v>39</v>
      </c>
      <c r="E69" s="2" t="s">
        <v>814</v>
      </c>
      <c r="F69" s="2" t="s">
        <v>815</v>
      </c>
      <c r="G69" s="2" t="s">
        <v>816</v>
      </c>
      <c r="H69" s="2" t="s">
        <v>817</v>
      </c>
      <c r="I69" s="7" t="s">
        <v>219</v>
      </c>
      <c r="J69" s="2">
        <v>50</v>
      </c>
      <c r="K69" s="2">
        <v>23</v>
      </c>
      <c r="L69" s="2">
        <v>36</v>
      </c>
      <c r="M69" s="2">
        <f t="shared" si="0"/>
        <v>109</v>
      </c>
      <c r="N69" s="2">
        <v>0</v>
      </c>
      <c r="O69" s="7" t="s">
        <v>113</v>
      </c>
      <c r="P69" s="7" t="s">
        <v>79</v>
      </c>
      <c r="Q69" s="7" t="s">
        <v>79</v>
      </c>
      <c r="R69" s="7" t="s">
        <v>79</v>
      </c>
      <c r="S69" t="s">
        <v>79</v>
      </c>
      <c r="T69" s="7" t="str" cm="1">
        <f t="array" ref="T69">IF(ISNUMBER(MATCH(TRIM(A69)&amp;"", _xlfn._xlws.FILTER(TRIM(Project_Scores!$D$2:$D$300)&amp;"", Project_Scores!$I$2:$I$300=TRUE, ""), 0)), "حاضر", "غائب")</f>
        <v>غائب</v>
      </c>
      <c r="U69" s="2" t="str">
        <f t="shared" si="1"/>
        <v>4 من 6</v>
      </c>
      <c r="V69" s="21">
        <f t="shared" si="2"/>
        <v>0.66666666666666663</v>
      </c>
      <c r="W69" s="2">
        <f t="shared" si="3"/>
        <v>109</v>
      </c>
      <c r="X69" s="2">
        <v>139</v>
      </c>
      <c r="Y69" s="2">
        <f t="shared" si="4"/>
        <v>4</v>
      </c>
      <c r="Z69" s="2">
        <f t="shared" si="5"/>
        <v>6</v>
      </c>
      <c r="AA69">
        <f t="shared" si="7"/>
        <v>143</v>
      </c>
    </row>
    <row r="70" spans="1:27" ht="15.7" customHeight="1" x14ac:dyDescent="0.4">
      <c r="A70" s="2" t="s">
        <v>317</v>
      </c>
      <c r="B70" s="7" t="s">
        <v>315</v>
      </c>
      <c r="C70" s="2" t="s">
        <v>317</v>
      </c>
      <c r="D70" s="2" t="s">
        <v>39</v>
      </c>
      <c r="E70" s="2" t="s">
        <v>818</v>
      </c>
      <c r="F70" s="2" t="s">
        <v>819</v>
      </c>
      <c r="G70" s="2" t="s">
        <v>820</v>
      </c>
      <c r="H70" s="2" t="s">
        <v>821</v>
      </c>
      <c r="I70" s="7" t="s">
        <v>233</v>
      </c>
      <c r="J70" s="2">
        <v>30</v>
      </c>
      <c r="K70" s="2">
        <v>30</v>
      </c>
      <c r="L70" s="2">
        <v>30</v>
      </c>
      <c r="M70" s="2">
        <f t="shared" si="0"/>
        <v>90</v>
      </c>
      <c r="N70" s="2">
        <v>5</v>
      </c>
      <c r="O70" s="7" t="s">
        <v>79</v>
      </c>
      <c r="P70" s="7" t="s">
        <v>79</v>
      </c>
      <c r="Q70" s="7" t="s">
        <v>79</v>
      </c>
      <c r="R70" s="7" t="s">
        <v>79</v>
      </c>
      <c r="S70" t="s">
        <v>79</v>
      </c>
      <c r="T70" s="7" t="str" cm="1">
        <f t="array" ref="T70">IF(ISNUMBER(MATCH(TRIM(A70)&amp;"", _xlfn._xlws.FILTER(TRIM(Project_Scores!$D$2:$D$300)&amp;"", Project_Scores!$I$2:$I$300=TRUE, ""), 0)), "حاضر", "غائب")</f>
        <v>غائب</v>
      </c>
      <c r="U70" s="2" t="str">
        <f t="shared" si="1"/>
        <v>5 من 6</v>
      </c>
      <c r="V70" s="21">
        <f t="shared" si="2"/>
        <v>0.83333333333333337</v>
      </c>
      <c r="W70" s="2">
        <f t="shared" si="3"/>
        <v>95</v>
      </c>
      <c r="X70" s="2">
        <v>135</v>
      </c>
      <c r="Y70" s="2">
        <f t="shared" si="4"/>
        <v>5</v>
      </c>
      <c r="Z70" s="2">
        <f t="shared" si="5"/>
        <v>6</v>
      </c>
      <c r="AA70">
        <f t="shared" si="7"/>
        <v>140</v>
      </c>
    </row>
    <row r="71" spans="1:27" ht="15.7" customHeight="1" x14ac:dyDescent="0.4">
      <c r="A71" s="2" t="s">
        <v>337</v>
      </c>
      <c r="B71" s="7" t="s">
        <v>822</v>
      </c>
      <c r="C71" s="2" t="s">
        <v>337</v>
      </c>
      <c r="D71" s="2" t="s">
        <v>39</v>
      </c>
      <c r="E71" s="2" t="s">
        <v>823</v>
      </c>
      <c r="F71" s="2" t="s">
        <v>824</v>
      </c>
      <c r="G71" s="2" t="s">
        <v>825</v>
      </c>
      <c r="H71" s="2" t="s">
        <v>826</v>
      </c>
      <c r="I71" s="7" t="s">
        <v>430</v>
      </c>
      <c r="J71" s="2">
        <v>0</v>
      </c>
      <c r="K71" s="2">
        <v>0</v>
      </c>
      <c r="L71" s="2">
        <v>0</v>
      </c>
      <c r="M71" s="2">
        <f t="shared" si="0"/>
        <v>0</v>
      </c>
      <c r="N71" s="2">
        <v>0</v>
      </c>
      <c r="O71" s="7" t="s">
        <v>79</v>
      </c>
      <c r="P71" s="7" t="s">
        <v>79</v>
      </c>
      <c r="Q71" s="7" t="s">
        <v>79</v>
      </c>
      <c r="R71" s="7" t="s">
        <v>113</v>
      </c>
      <c r="S71" t="s">
        <v>79</v>
      </c>
      <c r="T71" s="7" t="str" cm="1">
        <f t="array" ref="T71">IF(ISNUMBER(MATCH(TRIM(A71)&amp;"", _xlfn._xlws.FILTER(TRIM(Project_Scores!$D$2:$D$300)&amp;"", Project_Scores!$I$2:$I$300=TRUE, ""), 0)), "حاضر", "غائب")</f>
        <v>غائب</v>
      </c>
      <c r="U71" s="2" t="str">
        <f t="shared" si="1"/>
        <v>4 من 6</v>
      </c>
      <c r="V71" s="21">
        <f t="shared" si="2"/>
        <v>0.66666666666666663</v>
      </c>
      <c r="W71" s="2">
        <f t="shared" si="3"/>
        <v>0</v>
      </c>
      <c r="X71" s="2">
        <v>30</v>
      </c>
      <c r="Y71" s="2">
        <f t="shared" si="4"/>
        <v>4</v>
      </c>
      <c r="Z71" s="2">
        <f t="shared" si="5"/>
        <v>6</v>
      </c>
      <c r="AA71">
        <f t="shared" si="7"/>
        <v>34</v>
      </c>
    </row>
    <row r="72" spans="1:27" ht="15.7" customHeight="1" x14ac:dyDescent="0.4">
      <c r="A72" s="2" t="s">
        <v>829</v>
      </c>
      <c r="B72" s="7" t="s">
        <v>830</v>
      </c>
      <c r="C72" s="2" t="s">
        <v>829</v>
      </c>
      <c r="D72" s="2" t="s">
        <v>39</v>
      </c>
      <c r="E72" s="2" t="s">
        <v>831</v>
      </c>
      <c r="F72" s="2" t="s">
        <v>832</v>
      </c>
      <c r="G72" s="2" t="s">
        <v>833</v>
      </c>
      <c r="H72" s="2" t="s">
        <v>834</v>
      </c>
      <c r="I72" s="7" t="s">
        <v>233</v>
      </c>
      <c r="J72" s="2">
        <v>0</v>
      </c>
      <c r="K72" s="2">
        <v>0</v>
      </c>
      <c r="L72" s="2">
        <v>0</v>
      </c>
      <c r="M72" s="2">
        <f t="shared" si="0"/>
        <v>0</v>
      </c>
      <c r="N72" s="2">
        <v>3</v>
      </c>
      <c r="O72" s="7" t="s">
        <v>79</v>
      </c>
      <c r="P72" s="7" t="s">
        <v>113</v>
      </c>
      <c r="Q72" s="7" t="s">
        <v>113</v>
      </c>
      <c r="R72" s="7" t="s">
        <v>113</v>
      </c>
      <c r="S72" t="s">
        <v>113</v>
      </c>
      <c r="T72" s="7" t="str" cm="1">
        <f t="array" ref="T72">IF(ISNUMBER(MATCH(TRIM(A72)&amp;"", _xlfn._xlws.FILTER(TRIM(Project_Scores!$D$2:$D$300)&amp;"", Project_Scores!$I$2:$I$300=TRUE, ""), 0)), "حاضر", "غائب")</f>
        <v>غائب</v>
      </c>
      <c r="U72" s="2" t="str">
        <f t="shared" si="1"/>
        <v>1 من 6</v>
      </c>
      <c r="V72" s="21">
        <f t="shared" si="2"/>
        <v>0.16666666666666666</v>
      </c>
      <c r="W72" s="2">
        <f t="shared" si="3"/>
        <v>3</v>
      </c>
      <c r="X72" s="2">
        <v>13</v>
      </c>
      <c r="Y72" s="2">
        <f t="shared" si="4"/>
        <v>1</v>
      </c>
      <c r="Z72" s="2">
        <f t="shared" si="5"/>
        <v>6</v>
      </c>
      <c r="AA72">
        <f t="shared" si="7"/>
        <v>14</v>
      </c>
    </row>
    <row r="73" spans="1:27" ht="15.7" customHeight="1" x14ac:dyDescent="0.4">
      <c r="A73" s="2" t="s">
        <v>511</v>
      </c>
      <c r="B73" s="7" t="s">
        <v>835</v>
      </c>
      <c r="C73" s="2" t="s">
        <v>511</v>
      </c>
      <c r="D73" s="2" t="s">
        <v>39</v>
      </c>
      <c r="E73" s="2" t="s">
        <v>836</v>
      </c>
      <c r="F73" s="2" t="s">
        <v>837</v>
      </c>
      <c r="G73" s="2" t="s">
        <v>838</v>
      </c>
      <c r="H73" s="2" t="s">
        <v>839</v>
      </c>
      <c r="I73" s="7" t="s">
        <v>199</v>
      </c>
      <c r="J73" s="2">
        <v>53</v>
      </c>
      <c r="K73" s="2">
        <v>44</v>
      </c>
      <c r="L73" s="2">
        <v>36</v>
      </c>
      <c r="M73" s="2">
        <f t="shared" si="0"/>
        <v>133</v>
      </c>
      <c r="N73" s="2">
        <v>11</v>
      </c>
      <c r="O73" s="7" t="s">
        <v>79</v>
      </c>
      <c r="P73" s="7" t="s">
        <v>79</v>
      </c>
      <c r="Q73" s="7" t="s">
        <v>79</v>
      </c>
      <c r="R73" s="7" t="s">
        <v>79</v>
      </c>
      <c r="S73" t="s">
        <v>79</v>
      </c>
      <c r="T73" s="7" t="str" cm="1">
        <f t="array" ref="T73">IF(ISNUMBER(MATCH(TRIM(A73)&amp;"", _xlfn._xlws.FILTER(TRIM(Project_Scores!$D$2:$D$300)&amp;"", Project_Scores!$I$2:$I$300=TRUE, ""), 0)), "حاضر", "غائب")</f>
        <v>غائب</v>
      </c>
      <c r="U73" s="2" t="str">
        <f t="shared" si="1"/>
        <v>5 من 6</v>
      </c>
      <c r="V73" s="21">
        <f t="shared" si="2"/>
        <v>0.83333333333333337</v>
      </c>
      <c r="W73" s="2">
        <f t="shared" si="3"/>
        <v>144</v>
      </c>
      <c r="X73" s="2">
        <v>184</v>
      </c>
      <c r="Y73" s="2">
        <f t="shared" si="4"/>
        <v>5</v>
      </c>
      <c r="Z73" s="2">
        <f t="shared" si="5"/>
        <v>6</v>
      </c>
      <c r="AA73">
        <f t="shared" si="7"/>
        <v>189</v>
      </c>
    </row>
    <row r="74" spans="1:27" ht="15.7" customHeight="1" x14ac:dyDescent="0.4">
      <c r="A74" s="2" t="s">
        <v>791</v>
      </c>
      <c r="B74" s="7" t="s">
        <v>840</v>
      </c>
      <c r="C74" s="2" t="s">
        <v>791</v>
      </c>
      <c r="D74" s="2" t="s">
        <v>137</v>
      </c>
      <c r="E74" s="2" t="s">
        <v>138</v>
      </c>
      <c r="F74" s="2" t="s">
        <v>841</v>
      </c>
      <c r="G74" s="2" t="s">
        <v>842</v>
      </c>
      <c r="H74" s="2" t="s">
        <v>843</v>
      </c>
      <c r="I74" s="7" t="s">
        <v>844</v>
      </c>
      <c r="J74" s="2">
        <v>45</v>
      </c>
      <c r="K74" s="2">
        <v>40</v>
      </c>
      <c r="L74" s="2">
        <v>35</v>
      </c>
      <c r="M74" s="2">
        <f t="shared" si="0"/>
        <v>120</v>
      </c>
      <c r="N74" s="2">
        <v>0</v>
      </c>
      <c r="O74" s="7" t="s">
        <v>79</v>
      </c>
      <c r="P74" s="7" t="s">
        <v>79</v>
      </c>
      <c r="Q74" s="7" t="s">
        <v>79</v>
      </c>
      <c r="R74" s="7" t="s">
        <v>79</v>
      </c>
      <c r="S74" t="s">
        <v>79</v>
      </c>
      <c r="T74" s="7" t="str" cm="1">
        <f t="array" ref="T74">IF(ISNUMBER(MATCH(TRIM(A74)&amp;"", _xlfn._xlws.FILTER(TRIM(Project_Scores!$D$2:$D$300)&amp;"", Project_Scores!$I$2:$I$300=TRUE, ""), 0)), "حاضر", "غائب")</f>
        <v>غائب</v>
      </c>
      <c r="U74" s="2" t="str">
        <f t="shared" si="1"/>
        <v>5 من 6</v>
      </c>
      <c r="V74" s="21">
        <f t="shared" si="2"/>
        <v>0.83333333333333337</v>
      </c>
      <c r="W74" s="2">
        <f t="shared" si="3"/>
        <v>120</v>
      </c>
      <c r="X74" s="2">
        <v>160</v>
      </c>
      <c r="Y74" s="2">
        <f t="shared" si="4"/>
        <v>5</v>
      </c>
      <c r="Z74" s="2">
        <f t="shared" si="5"/>
        <v>6</v>
      </c>
      <c r="AA74">
        <f t="shared" si="7"/>
        <v>165</v>
      </c>
    </row>
    <row r="75" spans="1:27" ht="15.7" customHeight="1" x14ac:dyDescent="0.4">
      <c r="A75" s="2" t="s">
        <v>782</v>
      </c>
      <c r="B75" s="7" t="s">
        <v>781</v>
      </c>
      <c r="C75" s="2" t="s">
        <v>782</v>
      </c>
      <c r="D75" s="2" t="s">
        <v>137</v>
      </c>
      <c r="E75" s="2" t="s">
        <v>138</v>
      </c>
      <c r="F75" s="2" t="s">
        <v>846</v>
      </c>
      <c r="G75" s="2" t="s">
        <v>847</v>
      </c>
      <c r="H75" s="2" t="s">
        <v>848</v>
      </c>
      <c r="I75" s="7" t="s">
        <v>844</v>
      </c>
      <c r="J75" s="2">
        <v>40</v>
      </c>
      <c r="K75" s="2">
        <v>35</v>
      </c>
      <c r="L75" s="2">
        <v>14</v>
      </c>
      <c r="M75" s="2">
        <f t="shared" si="0"/>
        <v>89</v>
      </c>
      <c r="N75" s="2">
        <v>0</v>
      </c>
      <c r="O75" s="7" t="s">
        <v>79</v>
      </c>
      <c r="P75" s="7" t="s">
        <v>79</v>
      </c>
      <c r="Q75" s="7" t="s">
        <v>79</v>
      </c>
      <c r="R75" s="7" t="s">
        <v>79</v>
      </c>
      <c r="S75" t="s">
        <v>79</v>
      </c>
      <c r="T75" s="7" t="str" cm="1">
        <f t="array" ref="T75">IF(ISNUMBER(MATCH(TRIM(A75)&amp;"", _xlfn._xlws.FILTER(TRIM(Project_Scores!$D$2:$D$300)&amp;"", Project_Scores!$I$2:$I$300=TRUE, ""), 0)), "حاضر", "غائب")</f>
        <v>غائب</v>
      </c>
      <c r="U75" s="2" t="str">
        <f t="shared" si="1"/>
        <v>5 من 6</v>
      </c>
      <c r="V75" s="21">
        <f t="shared" si="2"/>
        <v>0.83333333333333337</v>
      </c>
      <c r="W75" s="2">
        <f t="shared" si="3"/>
        <v>89</v>
      </c>
      <c r="X75" s="2">
        <v>129</v>
      </c>
      <c r="Y75" s="2">
        <f t="shared" si="4"/>
        <v>5</v>
      </c>
      <c r="Z75" s="2">
        <f t="shared" si="5"/>
        <v>6</v>
      </c>
      <c r="AA75">
        <f t="shared" si="7"/>
        <v>134</v>
      </c>
    </row>
    <row r="76" spans="1:27" ht="15.7" customHeight="1" x14ac:dyDescent="0.4">
      <c r="A76" s="2" t="s">
        <v>849</v>
      </c>
      <c r="B76" s="7" t="s">
        <v>850</v>
      </c>
      <c r="C76" s="2" t="s">
        <v>849</v>
      </c>
      <c r="D76" s="2" t="s">
        <v>39</v>
      </c>
      <c r="E76" s="2" t="s">
        <v>851</v>
      </c>
      <c r="F76" s="2" t="s">
        <v>852</v>
      </c>
      <c r="G76" s="2" t="s">
        <v>853</v>
      </c>
      <c r="H76" s="2" t="s">
        <v>854</v>
      </c>
      <c r="I76" s="7" t="s">
        <v>844</v>
      </c>
      <c r="J76" s="2">
        <v>0</v>
      </c>
      <c r="K76" s="2">
        <v>0</v>
      </c>
      <c r="L76" s="2">
        <v>0</v>
      </c>
      <c r="M76" s="2">
        <f t="shared" si="0"/>
        <v>0</v>
      </c>
      <c r="N76" s="2">
        <v>0</v>
      </c>
      <c r="O76" s="7" t="s">
        <v>113</v>
      </c>
      <c r="P76" s="7" t="s">
        <v>113</v>
      </c>
      <c r="Q76" s="7" t="s">
        <v>113</v>
      </c>
      <c r="R76" s="7" t="s">
        <v>113</v>
      </c>
      <c r="S76" t="s">
        <v>113</v>
      </c>
      <c r="T76" s="7" t="str" cm="1">
        <f t="array" ref="T76">IF(ISNUMBER(MATCH(TRIM(A76)&amp;"", _xlfn._xlws.FILTER(TRIM(Project_Scores!$D$2:$D$300)&amp;"", Project_Scores!$I$2:$I$300=TRUE, ""), 0)), "حاضر", "غائب")</f>
        <v>غائب</v>
      </c>
      <c r="U76" s="2" t="str">
        <f t="shared" si="1"/>
        <v>0 من 6</v>
      </c>
      <c r="V76" s="21">
        <f t="shared" si="2"/>
        <v>0</v>
      </c>
      <c r="W76" s="2">
        <f t="shared" si="3"/>
        <v>0</v>
      </c>
      <c r="X76" s="2">
        <v>0</v>
      </c>
      <c r="Y76" s="2">
        <f t="shared" si="4"/>
        <v>0</v>
      </c>
      <c r="Z76" s="2">
        <f t="shared" si="5"/>
        <v>6</v>
      </c>
      <c r="AA76">
        <f t="shared" si="7"/>
        <v>0</v>
      </c>
    </row>
    <row r="77" spans="1:27" ht="15.7" customHeight="1" x14ac:dyDescent="0.4">
      <c r="A77" s="2" t="s">
        <v>696</v>
      </c>
      <c r="B77" s="7" t="s">
        <v>695</v>
      </c>
      <c r="C77" s="2" t="s">
        <v>696</v>
      </c>
      <c r="D77" s="2" t="s">
        <v>137</v>
      </c>
      <c r="E77" s="2" t="s">
        <v>138</v>
      </c>
      <c r="F77" s="2" t="s">
        <v>855</v>
      </c>
      <c r="G77" s="2" t="s">
        <v>856</v>
      </c>
      <c r="H77" s="2" t="s">
        <v>857</v>
      </c>
      <c r="I77" s="7" t="s">
        <v>844</v>
      </c>
      <c r="J77" s="2">
        <v>55</v>
      </c>
      <c r="K77" s="2">
        <v>40</v>
      </c>
      <c r="L77" s="2">
        <v>15</v>
      </c>
      <c r="M77" s="2">
        <f t="shared" si="0"/>
        <v>110</v>
      </c>
      <c r="N77" s="2">
        <v>5</v>
      </c>
      <c r="O77" s="7" t="s">
        <v>79</v>
      </c>
      <c r="P77" s="7" t="s">
        <v>113</v>
      </c>
      <c r="Q77" s="7" t="s">
        <v>79</v>
      </c>
      <c r="R77" s="7" t="s">
        <v>79</v>
      </c>
      <c r="S77" t="s">
        <v>79</v>
      </c>
      <c r="T77" s="7" t="str" cm="1">
        <f t="array" ref="T77">IF(ISNUMBER(MATCH(TRIM(A77)&amp;"", _xlfn._xlws.FILTER(TRIM(Project_Scores!$D$2:$D$300)&amp;"", Project_Scores!$I$2:$I$300=TRUE, ""), 0)), "حاضر", "غائب")</f>
        <v>غائب</v>
      </c>
      <c r="U77" s="2" t="str">
        <f t="shared" si="1"/>
        <v>4 من 6</v>
      </c>
      <c r="V77" s="21">
        <f t="shared" si="2"/>
        <v>0.66666666666666663</v>
      </c>
      <c r="W77" s="2">
        <f t="shared" si="3"/>
        <v>115</v>
      </c>
      <c r="X77" s="2">
        <v>145</v>
      </c>
      <c r="Y77" s="2">
        <f t="shared" si="4"/>
        <v>4</v>
      </c>
      <c r="Z77" s="2">
        <f t="shared" si="5"/>
        <v>6</v>
      </c>
      <c r="AA77">
        <f t="shared" si="7"/>
        <v>149</v>
      </c>
    </row>
    <row r="78" spans="1:27" ht="15.7" customHeight="1" x14ac:dyDescent="0.4">
      <c r="A78" s="2" t="s">
        <v>238</v>
      </c>
      <c r="B78" s="7" t="s">
        <v>858</v>
      </c>
      <c r="C78" s="2" t="s">
        <v>238</v>
      </c>
      <c r="D78" s="2" t="s">
        <v>39</v>
      </c>
      <c r="E78" s="2" t="s">
        <v>861</v>
      </c>
      <c r="F78" s="2" t="s">
        <v>537</v>
      </c>
      <c r="G78" s="2" t="s">
        <v>862</v>
      </c>
      <c r="H78" s="2" t="s">
        <v>536</v>
      </c>
      <c r="I78" s="7" t="s">
        <v>208</v>
      </c>
      <c r="J78" s="2">
        <v>40</v>
      </c>
      <c r="K78" s="2">
        <v>25</v>
      </c>
      <c r="L78" s="2">
        <v>15</v>
      </c>
      <c r="M78" s="2">
        <f t="shared" si="0"/>
        <v>80</v>
      </c>
      <c r="N78" s="2">
        <v>0</v>
      </c>
      <c r="O78" s="7" t="s">
        <v>79</v>
      </c>
      <c r="P78" s="7" t="s">
        <v>79</v>
      </c>
      <c r="Q78" s="7" t="s">
        <v>79</v>
      </c>
      <c r="R78" s="7" t="s">
        <v>79</v>
      </c>
      <c r="S78" t="s">
        <v>79</v>
      </c>
      <c r="T78" s="7" t="str" cm="1">
        <f t="array" ref="T78">IF(ISNUMBER(MATCH(TRIM(A78)&amp;"", _xlfn._xlws.FILTER(TRIM(Project_Scores!$D$2:$D$300)&amp;"", Project_Scores!$I$2:$I$300=TRUE, ""), 0)), "حاضر", "غائب")</f>
        <v>غائب</v>
      </c>
      <c r="U78" s="2" t="str">
        <f t="shared" si="1"/>
        <v>5 من 6</v>
      </c>
      <c r="V78" s="21">
        <f t="shared" si="2"/>
        <v>0.83333333333333337</v>
      </c>
      <c r="W78" s="2">
        <f t="shared" si="3"/>
        <v>80</v>
      </c>
      <c r="X78" s="2">
        <v>120</v>
      </c>
      <c r="Y78" s="2">
        <f t="shared" si="4"/>
        <v>5</v>
      </c>
      <c r="Z78" s="2">
        <f t="shared" si="5"/>
        <v>6</v>
      </c>
      <c r="AA78">
        <f t="shared" si="7"/>
        <v>125</v>
      </c>
    </row>
    <row r="79" spans="1:27" ht="15.7" customHeight="1" x14ac:dyDescent="0.4">
      <c r="A79" s="2" t="s">
        <v>863</v>
      </c>
      <c r="B79" s="7" t="s">
        <v>864</v>
      </c>
      <c r="C79" s="2" t="s">
        <v>863</v>
      </c>
      <c r="D79" s="2" t="s">
        <v>105</v>
      </c>
      <c r="E79" s="2" t="s">
        <v>865</v>
      </c>
      <c r="F79" s="2" t="s">
        <v>866</v>
      </c>
      <c r="G79" s="2" t="s">
        <v>867</v>
      </c>
      <c r="H79" s="2" t="s">
        <v>868</v>
      </c>
      <c r="I79" s="7" t="s">
        <v>844</v>
      </c>
      <c r="J79" s="2">
        <v>0</v>
      </c>
      <c r="K79" s="2">
        <v>0</v>
      </c>
      <c r="L79" s="2">
        <v>0</v>
      </c>
      <c r="M79" s="2">
        <f t="shared" si="0"/>
        <v>0</v>
      </c>
      <c r="N79" s="2">
        <v>0</v>
      </c>
      <c r="O79" s="7" t="s">
        <v>113</v>
      </c>
      <c r="P79" s="7" t="s">
        <v>113</v>
      </c>
      <c r="Q79" s="7" t="s">
        <v>113</v>
      </c>
      <c r="R79" s="7" t="s">
        <v>113</v>
      </c>
      <c r="S79" t="s">
        <v>113</v>
      </c>
      <c r="T79" s="7" t="str" cm="1">
        <f t="array" ref="T79">IF(ISNUMBER(MATCH(TRIM(A79)&amp;"", _xlfn._xlws.FILTER(TRIM(Project_Scores!$D$2:$D$300)&amp;"", Project_Scores!$I$2:$I$300=TRUE, ""), 0)), "حاضر", "غائب")</f>
        <v>غائب</v>
      </c>
      <c r="U79" s="2" t="str">
        <f t="shared" si="1"/>
        <v>0 من 6</v>
      </c>
      <c r="V79" s="21">
        <f t="shared" si="2"/>
        <v>0</v>
      </c>
      <c r="W79" s="2">
        <f t="shared" si="3"/>
        <v>0</v>
      </c>
      <c r="X79" s="2">
        <v>0</v>
      </c>
      <c r="Y79" s="2">
        <f t="shared" si="4"/>
        <v>0</v>
      </c>
      <c r="Z79" s="2">
        <f t="shared" si="5"/>
        <v>6</v>
      </c>
      <c r="AA79">
        <f t="shared" si="7"/>
        <v>0</v>
      </c>
    </row>
    <row r="80" spans="1:27" ht="15.7" customHeight="1" x14ac:dyDescent="0.4">
      <c r="A80" s="2" t="s">
        <v>607</v>
      </c>
      <c r="B80" s="7" t="s">
        <v>869</v>
      </c>
      <c r="C80" s="2" t="s">
        <v>607</v>
      </c>
      <c r="D80" s="2" t="s">
        <v>39</v>
      </c>
      <c r="E80" s="2" t="s">
        <v>870</v>
      </c>
      <c r="F80" s="2" t="s">
        <v>871</v>
      </c>
      <c r="G80" s="2" t="s">
        <v>872</v>
      </c>
      <c r="H80" s="2" t="s">
        <v>873</v>
      </c>
      <c r="I80" s="7" t="s">
        <v>346</v>
      </c>
      <c r="J80" s="2">
        <v>55</v>
      </c>
      <c r="K80" s="2">
        <v>29</v>
      </c>
      <c r="L80" s="2">
        <v>15</v>
      </c>
      <c r="M80" s="2">
        <f t="shared" si="0"/>
        <v>99</v>
      </c>
      <c r="N80" s="2">
        <v>0</v>
      </c>
      <c r="O80" s="7" t="s">
        <v>79</v>
      </c>
      <c r="P80" s="7" t="s">
        <v>79</v>
      </c>
      <c r="Q80" s="7" t="s">
        <v>79</v>
      </c>
      <c r="R80" s="7" t="s">
        <v>79</v>
      </c>
      <c r="S80" t="s">
        <v>113</v>
      </c>
      <c r="T80" s="7" t="str" cm="1">
        <f t="array" ref="T80">IF(ISNUMBER(MATCH(TRIM(A80)&amp;"", _xlfn._xlws.FILTER(TRIM(Project_Scores!$D$2:$D$300)&amp;"", Project_Scores!$I$2:$I$300=TRUE, ""), 0)), "حاضر", "غائب")</f>
        <v>غائب</v>
      </c>
      <c r="U80" s="2" t="str">
        <f t="shared" si="1"/>
        <v>4 من 6</v>
      </c>
      <c r="V80" s="21">
        <f t="shared" si="2"/>
        <v>0.66666666666666663</v>
      </c>
      <c r="W80" s="2">
        <f t="shared" si="3"/>
        <v>99</v>
      </c>
      <c r="X80" s="2">
        <v>139</v>
      </c>
      <c r="Y80" s="2">
        <f t="shared" si="4"/>
        <v>4</v>
      </c>
      <c r="Z80" s="2">
        <f t="shared" si="5"/>
        <v>6</v>
      </c>
      <c r="AA80">
        <f t="shared" si="7"/>
        <v>143</v>
      </c>
    </row>
    <row r="81" spans="1:27" ht="15.7" customHeight="1" x14ac:dyDescent="0.4">
      <c r="A81" s="2" t="s">
        <v>768</v>
      </c>
      <c r="B81" s="7" t="s">
        <v>767</v>
      </c>
      <c r="C81" s="2" t="s">
        <v>768</v>
      </c>
      <c r="D81" s="2" t="s">
        <v>137</v>
      </c>
      <c r="E81" s="2" t="s">
        <v>177</v>
      </c>
      <c r="F81" s="2" t="s">
        <v>876</v>
      </c>
      <c r="G81" s="2" t="s">
        <v>877</v>
      </c>
      <c r="H81" s="2" t="s">
        <v>878</v>
      </c>
      <c r="I81" s="7" t="s">
        <v>208</v>
      </c>
      <c r="J81" s="2">
        <v>52</v>
      </c>
      <c r="K81" s="2">
        <v>35</v>
      </c>
      <c r="L81" s="2">
        <v>35</v>
      </c>
      <c r="M81" s="2">
        <f t="shared" si="0"/>
        <v>122</v>
      </c>
      <c r="N81" s="2">
        <v>0</v>
      </c>
      <c r="O81" s="7" t="s">
        <v>113</v>
      </c>
      <c r="P81" s="7" t="s">
        <v>79</v>
      </c>
      <c r="Q81" s="7" t="s">
        <v>79</v>
      </c>
      <c r="R81" s="7" t="s">
        <v>162</v>
      </c>
      <c r="S81" t="s">
        <v>113</v>
      </c>
      <c r="T81" s="7" t="str" cm="1">
        <f t="array" ref="T81">IF(ISNUMBER(MATCH(TRIM(A81)&amp;"", _xlfn._xlws.FILTER(TRIM(Project_Scores!$D$2:$D$300)&amp;"", Project_Scores!$I$2:$I$300=TRUE, ""), 0)), "حاضر", "غائب")</f>
        <v>غائب</v>
      </c>
      <c r="U81" s="2" t="str">
        <f t="shared" si="1"/>
        <v>2 من 6</v>
      </c>
      <c r="V81" s="21">
        <f t="shared" si="2"/>
        <v>0.33333333333333331</v>
      </c>
      <c r="W81" s="2">
        <f t="shared" si="3"/>
        <v>122</v>
      </c>
      <c r="X81" s="2">
        <v>142</v>
      </c>
      <c r="Y81" s="2">
        <f t="shared" si="4"/>
        <v>2</v>
      </c>
      <c r="Z81" s="2">
        <f t="shared" si="5"/>
        <v>6</v>
      </c>
      <c r="AA81">
        <f t="shared" si="7"/>
        <v>144.5</v>
      </c>
    </row>
    <row r="82" spans="1:27" ht="15.7" customHeight="1" x14ac:dyDescent="0.4">
      <c r="A82" s="2" t="s">
        <v>639</v>
      </c>
      <c r="B82" s="7" t="s">
        <v>638</v>
      </c>
      <c r="C82" s="2" t="s">
        <v>639</v>
      </c>
      <c r="D82" s="2" t="s">
        <v>39</v>
      </c>
      <c r="E82" s="2" t="s">
        <v>879</v>
      </c>
      <c r="F82" s="2" t="s">
        <v>880</v>
      </c>
      <c r="G82" s="2" t="s">
        <v>881</v>
      </c>
      <c r="H82" s="2" t="s">
        <v>882</v>
      </c>
      <c r="I82" s="7" t="s">
        <v>219</v>
      </c>
      <c r="J82" s="2">
        <v>55</v>
      </c>
      <c r="K82" s="2">
        <v>45</v>
      </c>
      <c r="L82" s="2">
        <v>36</v>
      </c>
      <c r="M82" s="2">
        <f t="shared" si="0"/>
        <v>136</v>
      </c>
      <c r="N82" s="2">
        <v>4</v>
      </c>
      <c r="O82" s="7" t="s">
        <v>79</v>
      </c>
      <c r="P82" s="7" t="s">
        <v>79</v>
      </c>
      <c r="Q82" s="7" t="s">
        <v>79</v>
      </c>
      <c r="R82" s="7" t="s">
        <v>79</v>
      </c>
      <c r="S82" t="s">
        <v>113</v>
      </c>
      <c r="T82" s="7" t="str" cm="1">
        <f t="array" ref="T82">IF(ISNUMBER(MATCH(TRIM(A82)&amp;"", _xlfn._xlws.FILTER(TRIM(Project_Scores!$D$2:$D$300)&amp;"", Project_Scores!$I$2:$I$300=TRUE, ""), 0)), "حاضر", "غائب")</f>
        <v>غائب</v>
      </c>
      <c r="U82" s="2" t="str">
        <f t="shared" si="1"/>
        <v>4 من 6</v>
      </c>
      <c r="V82" s="21">
        <f t="shared" si="2"/>
        <v>0.66666666666666663</v>
      </c>
      <c r="W82" s="2">
        <f t="shared" si="3"/>
        <v>140</v>
      </c>
      <c r="X82" s="2">
        <v>180</v>
      </c>
      <c r="Y82" s="2">
        <f t="shared" si="4"/>
        <v>4</v>
      </c>
      <c r="Z82" s="2">
        <f t="shared" si="5"/>
        <v>6</v>
      </c>
      <c r="AA82">
        <f t="shared" si="7"/>
        <v>184</v>
      </c>
    </row>
    <row r="83" spans="1:27" ht="15.7" customHeight="1" x14ac:dyDescent="0.4">
      <c r="A83" s="2" t="s">
        <v>883</v>
      </c>
      <c r="B83" s="7" t="s">
        <v>884</v>
      </c>
      <c r="C83" s="2" t="s">
        <v>883</v>
      </c>
      <c r="D83" s="2" t="s">
        <v>105</v>
      </c>
      <c r="E83" s="2" t="s">
        <v>885</v>
      </c>
      <c r="F83" s="2" t="s">
        <v>886</v>
      </c>
      <c r="G83" s="2" t="s">
        <v>887</v>
      </c>
      <c r="H83" s="2" t="s">
        <v>888</v>
      </c>
      <c r="I83" s="7" t="s">
        <v>346</v>
      </c>
      <c r="J83" s="2">
        <v>0</v>
      </c>
      <c r="K83" s="2">
        <v>0</v>
      </c>
      <c r="L83" s="2">
        <v>0</v>
      </c>
      <c r="M83" s="2">
        <f t="shared" si="0"/>
        <v>0</v>
      </c>
      <c r="N83" s="2">
        <v>0</v>
      </c>
      <c r="O83" s="7" t="s">
        <v>113</v>
      </c>
      <c r="P83" s="7" t="s">
        <v>113</v>
      </c>
      <c r="Q83" s="7" t="s">
        <v>113</v>
      </c>
      <c r="R83" s="7" t="s">
        <v>113</v>
      </c>
      <c r="S83" t="s">
        <v>113</v>
      </c>
      <c r="T83" s="7" t="str" cm="1">
        <f t="array" ref="T83">IF(ISNUMBER(MATCH(TRIM(A83)&amp;"", _xlfn._xlws.FILTER(TRIM(Project_Scores!$D$2:$D$300)&amp;"", Project_Scores!$I$2:$I$300=TRUE, ""), 0)), "حاضر", "غائب")</f>
        <v>غائب</v>
      </c>
      <c r="U83" s="2" t="str">
        <f t="shared" si="1"/>
        <v>0 من 6</v>
      </c>
      <c r="V83" s="21">
        <f t="shared" si="2"/>
        <v>0</v>
      </c>
      <c r="W83" s="2">
        <f t="shared" si="3"/>
        <v>0</v>
      </c>
      <c r="X83" s="2">
        <v>0</v>
      </c>
      <c r="Y83" s="2">
        <f t="shared" si="4"/>
        <v>0</v>
      </c>
      <c r="Z83" s="2">
        <f t="shared" si="5"/>
        <v>6</v>
      </c>
      <c r="AA83">
        <f t="shared" si="7"/>
        <v>0</v>
      </c>
    </row>
    <row r="84" spans="1:27" ht="15.7" customHeight="1" x14ac:dyDescent="0.4">
      <c r="A84" s="2" t="s">
        <v>528</v>
      </c>
      <c r="B84" s="7" t="s">
        <v>527</v>
      </c>
      <c r="C84" s="2" t="s">
        <v>528</v>
      </c>
      <c r="D84" s="2" t="s">
        <v>105</v>
      </c>
      <c r="E84" s="2" t="s">
        <v>889</v>
      </c>
      <c r="F84" s="2" t="s">
        <v>890</v>
      </c>
      <c r="G84" s="2" t="s">
        <v>892</v>
      </c>
      <c r="H84" s="2" t="s">
        <v>894</v>
      </c>
      <c r="I84" s="7" t="s">
        <v>199</v>
      </c>
      <c r="J84" s="2">
        <v>51</v>
      </c>
      <c r="K84" s="2">
        <v>43</v>
      </c>
      <c r="L84" s="2">
        <v>40</v>
      </c>
      <c r="M84" s="2">
        <f t="shared" si="0"/>
        <v>134</v>
      </c>
      <c r="N84" s="2">
        <v>6</v>
      </c>
      <c r="O84" s="7" t="s">
        <v>79</v>
      </c>
      <c r="P84" s="7" t="s">
        <v>79</v>
      </c>
      <c r="Q84" s="7" t="s">
        <v>79</v>
      </c>
      <c r="R84" s="7" t="s">
        <v>79</v>
      </c>
      <c r="S84" t="s">
        <v>79</v>
      </c>
      <c r="T84" s="7" t="str" cm="1">
        <f t="array" ref="T84">IF(ISNUMBER(MATCH(TRIM(A84)&amp;"", _xlfn._xlws.FILTER(TRIM(Project_Scores!$D$2:$D$300)&amp;"", Project_Scores!$I$2:$I$300=TRUE, ""), 0)), "حاضر", "غائب")</f>
        <v>غائب</v>
      </c>
      <c r="U84" s="2" t="str">
        <f t="shared" si="1"/>
        <v>5 من 6</v>
      </c>
      <c r="V84" s="21">
        <f t="shared" si="2"/>
        <v>0.83333333333333337</v>
      </c>
      <c r="W84" s="2">
        <f t="shared" si="3"/>
        <v>140</v>
      </c>
      <c r="X84" s="2">
        <v>180</v>
      </c>
      <c r="Y84" s="2">
        <f t="shared" si="4"/>
        <v>5</v>
      </c>
      <c r="Z84" s="2">
        <f t="shared" si="5"/>
        <v>6</v>
      </c>
      <c r="AA84">
        <f t="shared" si="7"/>
        <v>185</v>
      </c>
    </row>
    <row r="85" spans="1:27" ht="15.7" customHeight="1" x14ac:dyDescent="0.4">
      <c r="A85" s="2" t="s">
        <v>753</v>
      </c>
      <c r="B85" s="7" t="s">
        <v>896</v>
      </c>
      <c r="C85" s="2" t="s">
        <v>753</v>
      </c>
      <c r="D85" s="2" t="s">
        <v>137</v>
      </c>
      <c r="E85" s="2" t="s">
        <v>897</v>
      </c>
      <c r="F85" s="2" t="s">
        <v>898</v>
      </c>
      <c r="G85" s="2" t="s">
        <v>899</v>
      </c>
      <c r="H85" s="2" t="s">
        <v>900</v>
      </c>
      <c r="I85" s="7" t="s">
        <v>483</v>
      </c>
      <c r="J85" s="2">
        <v>37</v>
      </c>
      <c r="K85" s="2">
        <v>25</v>
      </c>
      <c r="L85" s="2">
        <v>0</v>
      </c>
      <c r="M85" s="2">
        <f t="shared" si="0"/>
        <v>62</v>
      </c>
      <c r="N85" s="2">
        <v>0</v>
      </c>
      <c r="O85" s="7" t="s">
        <v>113</v>
      </c>
      <c r="P85" s="7" t="s">
        <v>79</v>
      </c>
      <c r="Q85" s="7" t="s">
        <v>79</v>
      </c>
      <c r="R85" s="7" t="s">
        <v>79</v>
      </c>
      <c r="S85" t="s">
        <v>79</v>
      </c>
      <c r="T85" s="7" t="str" cm="1">
        <f t="array" ref="T85">IF(ISNUMBER(MATCH(TRIM(A85)&amp;"", _xlfn._xlws.FILTER(TRIM(Project_Scores!$D$2:$D$300)&amp;"", Project_Scores!$I$2:$I$300=TRUE, ""), 0)), "حاضر", "غائب")</f>
        <v>غائب</v>
      </c>
      <c r="U85" s="2" t="str">
        <f t="shared" si="1"/>
        <v>4 من 6</v>
      </c>
      <c r="V85" s="21">
        <f t="shared" si="2"/>
        <v>0.66666666666666663</v>
      </c>
      <c r="W85" s="2">
        <f t="shared" si="3"/>
        <v>62</v>
      </c>
      <c r="X85" s="2">
        <v>92</v>
      </c>
      <c r="Y85" s="2">
        <f t="shared" si="4"/>
        <v>4</v>
      </c>
      <c r="Z85" s="2">
        <f t="shared" si="5"/>
        <v>6</v>
      </c>
      <c r="AA85">
        <f t="shared" si="7"/>
        <v>96</v>
      </c>
    </row>
    <row r="86" spans="1:27" ht="15.7" customHeight="1" x14ac:dyDescent="0.4">
      <c r="A86" s="2" t="s">
        <v>632</v>
      </c>
      <c r="B86" s="7" t="s">
        <v>631</v>
      </c>
      <c r="C86" s="2" t="s">
        <v>632</v>
      </c>
      <c r="D86" s="2" t="s">
        <v>137</v>
      </c>
      <c r="E86" s="2" t="s">
        <v>897</v>
      </c>
      <c r="F86" s="2" t="s">
        <v>901</v>
      </c>
      <c r="G86" s="2" t="s">
        <v>902</v>
      </c>
      <c r="H86" s="2" t="s">
        <v>903</v>
      </c>
      <c r="I86" s="7" t="s">
        <v>219</v>
      </c>
      <c r="J86" s="2">
        <v>40</v>
      </c>
      <c r="K86" s="2">
        <v>0</v>
      </c>
      <c r="L86" s="2">
        <v>20</v>
      </c>
      <c r="M86" s="2">
        <f t="shared" si="0"/>
        <v>60</v>
      </c>
      <c r="N86" s="2">
        <v>0</v>
      </c>
      <c r="O86" s="7" t="s">
        <v>79</v>
      </c>
      <c r="P86" s="7" t="s">
        <v>79</v>
      </c>
      <c r="Q86" s="7" t="s">
        <v>79</v>
      </c>
      <c r="R86" s="7" t="s">
        <v>113</v>
      </c>
      <c r="S86" t="s">
        <v>79</v>
      </c>
      <c r="T86" s="7" t="str" cm="1">
        <f t="array" ref="T86">IF(ISNUMBER(MATCH(TRIM(A86)&amp;"", _xlfn._xlws.FILTER(TRIM(Project_Scores!$D$2:$D$300)&amp;"", Project_Scores!$I$2:$I$300=TRUE, ""), 0)), "حاضر", "غائب")</f>
        <v>غائب</v>
      </c>
      <c r="U86" s="2" t="str">
        <f t="shared" si="1"/>
        <v>4 من 6</v>
      </c>
      <c r="V86" s="21">
        <f t="shared" si="2"/>
        <v>0.66666666666666663</v>
      </c>
      <c r="W86" s="2">
        <f t="shared" si="3"/>
        <v>60</v>
      </c>
      <c r="X86" s="2">
        <v>90</v>
      </c>
      <c r="Y86" s="2">
        <f t="shared" si="4"/>
        <v>4</v>
      </c>
      <c r="Z86" s="2">
        <f t="shared" si="5"/>
        <v>6</v>
      </c>
      <c r="AA86">
        <f t="shared" si="7"/>
        <v>94</v>
      </c>
    </row>
    <row r="87" spans="1:27" ht="15.7" customHeight="1" x14ac:dyDescent="0.4">
      <c r="A87" s="2" t="s">
        <v>906</v>
      </c>
      <c r="B87" s="7" t="s">
        <v>907</v>
      </c>
      <c r="C87" s="2" t="s">
        <v>906</v>
      </c>
      <c r="D87" s="2" t="s">
        <v>39</v>
      </c>
      <c r="E87" s="2" t="s">
        <v>908</v>
      </c>
      <c r="F87" s="2" t="s">
        <v>909</v>
      </c>
      <c r="G87" s="2" t="s">
        <v>910</v>
      </c>
      <c r="H87" s="2" t="s">
        <v>911</v>
      </c>
      <c r="I87" s="7" t="s">
        <v>233</v>
      </c>
      <c r="J87" s="2">
        <v>0</v>
      </c>
      <c r="K87" s="2">
        <v>0</v>
      </c>
      <c r="L87" s="2">
        <v>0</v>
      </c>
      <c r="M87" s="2">
        <f t="shared" si="0"/>
        <v>0</v>
      </c>
      <c r="N87" s="2">
        <v>5</v>
      </c>
      <c r="O87" s="7" t="s">
        <v>113</v>
      </c>
      <c r="P87" s="7" t="s">
        <v>113</v>
      </c>
      <c r="Q87" s="7" t="s">
        <v>113</v>
      </c>
      <c r="R87" s="7" t="s">
        <v>113</v>
      </c>
      <c r="S87" t="s">
        <v>113</v>
      </c>
      <c r="T87" s="7" t="str" cm="1">
        <f t="array" ref="T87">IF(ISNUMBER(MATCH(TRIM(A87)&amp;"", _xlfn._xlws.FILTER(TRIM(Project_Scores!$D$2:$D$300)&amp;"", Project_Scores!$I$2:$I$300=TRUE, ""), 0)), "حاضر", "غائب")</f>
        <v>غائب</v>
      </c>
      <c r="U87" s="2" t="str">
        <f t="shared" si="1"/>
        <v>0 من 6</v>
      </c>
      <c r="V87" s="21">
        <f t="shared" si="2"/>
        <v>0</v>
      </c>
      <c r="W87" s="2">
        <f t="shared" si="3"/>
        <v>5</v>
      </c>
      <c r="X87" s="2">
        <v>5</v>
      </c>
      <c r="Y87" s="2">
        <f t="shared" si="4"/>
        <v>0</v>
      </c>
      <c r="Z87" s="2">
        <f t="shared" si="5"/>
        <v>6</v>
      </c>
      <c r="AA87">
        <f t="shared" si="7"/>
        <v>5</v>
      </c>
    </row>
    <row r="88" spans="1:27" ht="15.7" customHeight="1" x14ac:dyDescent="0.4">
      <c r="A88" s="2" t="s">
        <v>686</v>
      </c>
      <c r="B88" s="7" t="s">
        <v>685</v>
      </c>
      <c r="C88" s="2" t="s">
        <v>686</v>
      </c>
      <c r="D88" s="2" t="s">
        <v>105</v>
      </c>
      <c r="E88" s="2" t="s">
        <v>912</v>
      </c>
      <c r="F88" s="2" t="s">
        <v>913</v>
      </c>
      <c r="G88" s="2" t="s">
        <v>914</v>
      </c>
      <c r="H88" s="2" t="s">
        <v>915</v>
      </c>
      <c r="I88" s="2" t="s">
        <v>553</v>
      </c>
      <c r="J88" s="2">
        <v>55</v>
      </c>
      <c r="K88" s="2">
        <v>40</v>
      </c>
      <c r="L88" s="2">
        <v>15</v>
      </c>
      <c r="M88" s="2">
        <f t="shared" si="0"/>
        <v>110</v>
      </c>
      <c r="N88" s="2">
        <v>4</v>
      </c>
      <c r="O88" s="7" t="s">
        <v>79</v>
      </c>
      <c r="P88" s="7" t="s">
        <v>79</v>
      </c>
      <c r="Q88" s="7" t="s">
        <v>113</v>
      </c>
      <c r="R88" s="7" t="s">
        <v>79</v>
      </c>
      <c r="S88" t="s">
        <v>113</v>
      </c>
      <c r="T88" s="7" t="str" cm="1">
        <f t="array" ref="T88">IF(ISNUMBER(MATCH(TRIM(A88)&amp;"", _xlfn._xlws.FILTER(TRIM(Project_Scores!$D$2:$D$300)&amp;"", Project_Scores!$I$2:$I$300=TRUE, ""), 0)), "حاضر", "غائب")</f>
        <v>غائب</v>
      </c>
      <c r="U88" s="2" t="str">
        <f t="shared" si="1"/>
        <v>3 من 6</v>
      </c>
      <c r="V88" s="21">
        <f t="shared" si="2"/>
        <v>0.5</v>
      </c>
      <c r="W88" s="2">
        <f t="shared" si="3"/>
        <v>114</v>
      </c>
      <c r="X88" s="2">
        <v>144</v>
      </c>
      <c r="Y88" s="2">
        <f t="shared" si="4"/>
        <v>3</v>
      </c>
      <c r="Z88" s="2">
        <f t="shared" si="5"/>
        <v>6</v>
      </c>
      <c r="AA88">
        <f t="shared" si="7"/>
        <v>147</v>
      </c>
    </row>
    <row r="89" spans="1:27" ht="15.7" customHeight="1" x14ac:dyDescent="0.4">
      <c r="A89" s="2" t="s">
        <v>458</v>
      </c>
      <c r="B89" s="7" t="s">
        <v>916</v>
      </c>
      <c r="C89" s="2" t="s">
        <v>458</v>
      </c>
      <c r="D89" s="2" t="s">
        <v>39</v>
      </c>
      <c r="E89" s="2" t="s">
        <v>917</v>
      </c>
      <c r="F89" s="2" t="s">
        <v>918</v>
      </c>
      <c r="G89" s="2" t="s">
        <v>919</v>
      </c>
      <c r="H89" s="2" t="s">
        <v>920</v>
      </c>
      <c r="I89" s="2" t="s">
        <v>553</v>
      </c>
      <c r="J89" s="2">
        <v>45</v>
      </c>
      <c r="K89" s="2">
        <v>45</v>
      </c>
      <c r="L89" s="2">
        <v>35</v>
      </c>
      <c r="M89" s="2">
        <f t="shared" si="0"/>
        <v>125</v>
      </c>
      <c r="N89" s="2">
        <v>2</v>
      </c>
      <c r="O89" s="7" t="s">
        <v>79</v>
      </c>
      <c r="P89" s="7" t="s">
        <v>79</v>
      </c>
      <c r="Q89" s="7" t="s">
        <v>79</v>
      </c>
      <c r="R89" s="7" t="s">
        <v>79</v>
      </c>
      <c r="S89" t="s">
        <v>79</v>
      </c>
      <c r="T89" s="7" t="str" cm="1">
        <f t="array" ref="T89">IF(ISNUMBER(MATCH(TRIM(A89)&amp;"", _xlfn._xlws.FILTER(TRIM(Project_Scores!$D$2:$D$300)&amp;"", Project_Scores!$I$2:$I$300=TRUE, ""), 0)), "حاضر", "غائب")</f>
        <v>غائب</v>
      </c>
      <c r="U89" s="2" t="str">
        <f t="shared" si="1"/>
        <v>5 من 6</v>
      </c>
      <c r="V89" s="21">
        <f t="shared" si="2"/>
        <v>0.83333333333333337</v>
      </c>
      <c r="W89" s="2">
        <f t="shared" si="3"/>
        <v>127</v>
      </c>
      <c r="X89" s="2">
        <v>167</v>
      </c>
      <c r="Y89" s="2">
        <f t="shared" si="4"/>
        <v>5</v>
      </c>
      <c r="Z89" s="2">
        <f t="shared" si="5"/>
        <v>6</v>
      </c>
      <c r="AA89">
        <f t="shared" si="7"/>
        <v>172</v>
      </c>
    </row>
    <row r="90" spans="1:27" ht="15.7" customHeight="1" x14ac:dyDescent="0.4">
      <c r="A90" s="2" t="s">
        <v>766</v>
      </c>
      <c r="B90" s="7" t="s">
        <v>923</v>
      </c>
      <c r="C90" s="2" t="s">
        <v>766</v>
      </c>
      <c r="D90" s="2" t="s">
        <v>39</v>
      </c>
      <c r="E90" s="2" t="s">
        <v>924</v>
      </c>
      <c r="F90" s="2" t="s">
        <v>925</v>
      </c>
      <c r="G90" s="2" t="s">
        <v>926</v>
      </c>
      <c r="H90" s="2" t="s">
        <v>927</v>
      </c>
      <c r="I90" s="7" t="s">
        <v>430</v>
      </c>
      <c r="J90" s="2">
        <v>39</v>
      </c>
      <c r="K90" s="2">
        <v>25</v>
      </c>
      <c r="L90" s="2">
        <v>20</v>
      </c>
      <c r="M90" s="2">
        <f t="shared" si="0"/>
        <v>84</v>
      </c>
      <c r="N90" s="2">
        <v>0</v>
      </c>
      <c r="O90" s="7" t="s">
        <v>79</v>
      </c>
      <c r="P90" s="7" t="s">
        <v>79</v>
      </c>
      <c r="Q90" s="7" t="s">
        <v>79</v>
      </c>
      <c r="R90" s="7" t="s">
        <v>79</v>
      </c>
      <c r="S90" t="s">
        <v>79</v>
      </c>
      <c r="T90" s="7" t="str" cm="1">
        <f t="array" ref="T90">IF(ISNUMBER(MATCH(TRIM(A90)&amp;"", _xlfn._xlws.FILTER(TRIM(Project_Scores!$D$2:$D$300)&amp;"", Project_Scores!$I$2:$I$300=TRUE, ""), 0)), "حاضر", "غائب")</f>
        <v>غائب</v>
      </c>
      <c r="U90" s="2" t="str">
        <f t="shared" si="1"/>
        <v>5 من 6</v>
      </c>
      <c r="V90" s="21">
        <f t="shared" si="2"/>
        <v>0.83333333333333337</v>
      </c>
      <c r="W90" s="2">
        <f t="shared" si="3"/>
        <v>84</v>
      </c>
      <c r="X90" s="2">
        <v>124</v>
      </c>
      <c r="Y90" s="2">
        <f t="shared" si="4"/>
        <v>5</v>
      </c>
      <c r="Z90" s="2">
        <f t="shared" si="5"/>
        <v>6</v>
      </c>
      <c r="AA90">
        <f t="shared" si="7"/>
        <v>129</v>
      </c>
    </row>
    <row r="91" spans="1:27" ht="15.7" customHeight="1" x14ac:dyDescent="0.4">
      <c r="A91" s="2" t="s">
        <v>371</v>
      </c>
      <c r="B91" s="7" t="s">
        <v>928</v>
      </c>
      <c r="C91" s="2" t="s">
        <v>371</v>
      </c>
      <c r="D91" s="2" t="s">
        <v>105</v>
      </c>
      <c r="E91" s="2" t="s">
        <v>929</v>
      </c>
      <c r="F91" s="2" t="s">
        <v>930</v>
      </c>
      <c r="G91" s="2" t="s">
        <v>931</v>
      </c>
      <c r="H91" s="2" t="s">
        <v>932</v>
      </c>
      <c r="I91" s="7" t="s">
        <v>132</v>
      </c>
      <c r="J91" s="2">
        <v>55</v>
      </c>
      <c r="K91" s="2">
        <v>45</v>
      </c>
      <c r="L91" s="2">
        <v>45</v>
      </c>
      <c r="M91" s="2">
        <f t="shared" si="0"/>
        <v>145</v>
      </c>
      <c r="N91" s="2">
        <v>8</v>
      </c>
      <c r="O91" s="7" t="s">
        <v>79</v>
      </c>
      <c r="P91" s="7" t="s">
        <v>79</v>
      </c>
      <c r="Q91" s="7" t="s">
        <v>162</v>
      </c>
      <c r="R91" s="7" t="s">
        <v>79</v>
      </c>
      <c r="S91" t="s">
        <v>79</v>
      </c>
      <c r="T91" s="7" t="str" cm="1">
        <f t="array" ref="T91">IF(ISNUMBER(MATCH(TRIM(A91)&amp;"", _xlfn._xlws.FILTER(TRIM(Project_Scores!$D$2:$D$300)&amp;"", Project_Scores!$I$2:$I$300=TRUE, ""), 0)), "حاضر", "غائب")</f>
        <v>غائب</v>
      </c>
      <c r="U91" s="2" t="str">
        <f t="shared" si="1"/>
        <v>4 من 6</v>
      </c>
      <c r="V91" s="21">
        <f t="shared" si="2"/>
        <v>0.66666666666666663</v>
      </c>
      <c r="W91" s="2">
        <f t="shared" si="3"/>
        <v>153</v>
      </c>
      <c r="X91" s="2">
        <v>183</v>
      </c>
      <c r="Y91" s="2">
        <f t="shared" si="4"/>
        <v>4</v>
      </c>
      <c r="Z91" s="2">
        <f t="shared" si="5"/>
        <v>6</v>
      </c>
      <c r="AA91">
        <f t="shared" si="7"/>
        <v>187.5</v>
      </c>
    </row>
    <row r="92" spans="1:27" ht="15.7" customHeight="1" x14ac:dyDescent="0.4">
      <c r="A92" s="2" t="s">
        <v>296</v>
      </c>
      <c r="B92" s="7" t="s">
        <v>935</v>
      </c>
      <c r="C92" s="2" t="s">
        <v>296</v>
      </c>
      <c r="D92" s="2" t="s">
        <v>39</v>
      </c>
      <c r="E92" s="2" t="s">
        <v>936</v>
      </c>
      <c r="F92" s="2" t="s">
        <v>893</v>
      </c>
      <c r="G92" s="2" t="s">
        <v>937</v>
      </c>
      <c r="H92" s="2" t="s">
        <v>891</v>
      </c>
      <c r="I92" s="7" t="s">
        <v>199</v>
      </c>
      <c r="J92" s="2">
        <v>40</v>
      </c>
      <c r="K92" s="2">
        <v>25</v>
      </c>
      <c r="L92" s="2">
        <v>0</v>
      </c>
      <c r="M92" s="2">
        <f t="shared" si="0"/>
        <v>65</v>
      </c>
      <c r="N92" s="2">
        <v>15</v>
      </c>
      <c r="O92" s="7" t="s">
        <v>79</v>
      </c>
      <c r="P92" s="7" t="s">
        <v>79</v>
      </c>
      <c r="Q92" s="7" t="s">
        <v>79</v>
      </c>
      <c r="R92" s="7" t="s">
        <v>113</v>
      </c>
      <c r="S92" t="s">
        <v>79</v>
      </c>
      <c r="T92" s="7" t="str" cm="1">
        <f t="array" ref="T92">IF(ISNUMBER(MATCH(TRIM(A92)&amp;"", _xlfn._xlws.FILTER(TRIM(Project_Scores!$D$2:$D$300)&amp;"", Project_Scores!$I$2:$I$300=TRUE, ""), 0)), "حاضر", "غائب")</f>
        <v>غائب</v>
      </c>
      <c r="U92" s="2" t="str">
        <f t="shared" si="1"/>
        <v>4 من 6</v>
      </c>
      <c r="V92" s="21">
        <f t="shared" si="2"/>
        <v>0.66666666666666663</v>
      </c>
      <c r="W92" s="2">
        <f t="shared" si="3"/>
        <v>80</v>
      </c>
      <c r="X92" s="2">
        <v>110</v>
      </c>
      <c r="Y92" s="2">
        <f t="shared" si="4"/>
        <v>4</v>
      </c>
      <c r="Z92" s="2">
        <f t="shared" si="5"/>
        <v>6</v>
      </c>
      <c r="AA92">
        <f t="shared" si="7"/>
        <v>114</v>
      </c>
    </row>
    <row r="93" spans="1:27" ht="15.7" customHeight="1" x14ac:dyDescent="0.4">
      <c r="A93" s="2" t="s">
        <v>703</v>
      </c>
      <c r="B93" s="7" t="s">
        <v>702</v>
      </c>
      <c r="C93" s="2" t="s">
        <v>703</v>
      </c>
      <c r="D93" s="2" t="s">
        <v>137</v>
      </c>
      <c r="E93" s="2" t="s">
        <v>138</v>
      </c>
      <c r="F93" s="2" t="s">
        <v>938</v>
      </c>
      <c r="G93" s="2" t="s">
        <v>939</v>
      </c>
      <c r="H93" s="2" t="s">
        <v>940</v>
      </c>
      <c r="I93" s="7" t="s">
        <v>132</v>
      </c>
      <c r="J93" s="2">
        <v>39</v>
      </c>
      <c r="K93" s="2">
        <v>37</v>
      </c>
      <c r="L93" s="2">
        <v>0</v>
      </c>
      <c r="M93" s="2">
        <f t="shared" si="0"/>
        <v>76</v>
      </c>
      <c r="N93" s="2">
        <v>40</v>
      </c>
      <c r="O93" s="7" t="s">
        <v>79</v>
      </c>
      <c r="P93" s="7" t="s">
        <v>79</v>
      </c>
      <c r="Q93" s="7" t="s">
        <v>79</v>
      </c>
      <c r="R93" s="7" t="s">
        <v>79</v>
      </c>
      <c r="S93" t="s">
        <v>79</v>
      </c>
      <c r="T93" s="7" t="str" cm="1">
        <f t="array" ref="T93">IF(ISNUMBER(MATCH(TRIM(A93)&amp;"", _xlfn._xlws.FILTER(TRIM(Project_Scores!$D$2:$D$300)&amp;"", Project_Scores!$I$2:$I$300=TRUE, ""), 0)), "حاضر", "غائب")</f>
        <v>غائب</v>
      </c>
      <c r="U93" s="2" t="str">
        <f t="shared" si="1"/>
        <v>5 من 6</v>
      </c>
      <c r="V93" s="21">
        <f t="shared" si="2"/>
        <v>0.83333333333333337</v>
      </c>
      <c r="W93" s="2">
        <f t="shared" si="3"/>
        <v>116</v>
      </c>
      <c r="X93" s="2">
        <v>156</v>
      </c>
      <c r="Y93" s="2">
        <f t="shared" si="4"/>
        <v>5</v>
      </c>
      <c r="Z93" s="2">
        <f t="shared" si="5"/>
        <v>6</v>
      </c>
      <c r="AA93">
        <f t="shared" si="7"/>
        <v>161</v>
      </c>
    </row>
    <row r="94" spans="1:27" ht="15.7" customHeight="1" x14ac:dyDescent="0.4">
      <c r="A94" s="2" t="s">
        <v>941</v>
      </c>
      <c r="B94" s="7" t="s">
        <v>942</v>
      </c>
      <c r="C94" s="2" t="s">
        <v>941</v>
      </c>
      <c r="D94" s="2" t="s">
        <v>39</v>
      </c>
      <c r="E94" s="2" t="s">
        <v>943</v>
      </c>
      <c r="F94" s="2" t="s">
        <v>944</v>
      </c>
      <c r="G94" s="2" t="s">
        <v>945</v>
      </c>
      <c r="H94" s="2" t="s">
        <v>946</v>
      </c>
      <c r="I94" s="7" t="s">
        <v>219</v>
      </c>
      <c r="J94" s="2">
        <v>0</v>
      </c>
      <c r="K94" s="2">
        <v>0</v>
      </c>
      <c r="L94" s="2">
        <v>0</v>
      </c>
      <c r="M94" s="2">
        <f t="shared" si="0"/>
        <v>0</v>
      </c>
      <c r="N94" s="2">
        <v>0</v>
      </c>
      <c r="O94" s="7" t="s">
        <v>113</v>
      </c>
      <c r="P94" s="7" t="s">
        <v>113</v>
      </c>
      <c r="Q94" s="7" t="s">
        <v>113</v>
      </c>
      <c r="R94" s="7" t="s">
        <v>113</v>
      </c>
      <c r="S94" t="s">
        <v>113</v>
      </c>
      <c r="T94" s="7" t="str" cm="1">
        <f t="array" ref="T94">IF(ISNUMBER(MATCH(TRIM(A94)&amp;"", _xlfn._xlws.FILTER(TRIM(Project_Scores!$D$2:$D$300)&amp;"", Project_Scores!$I$2:$I$300=TRUE, ""), 0)), "حاضر", "غائب")</f>
        <v>غائب</v>
      </c>
      <c r="U94" s="2" t="str">
        <f t="shared" si="1"/>
        <v>0 من 6</v>
      </c>
      <c r="V94" s="21">
        <f t="shared" si="2"/>
        <v>0</v>
      </c>
      <c r="W94" s="2">
        <f t="shared" si="3"/>
        <v>0</v>
      </c>
      <c r="X94" s="2">
        <v>0</v>
      </c>
      <c r="Y94" s="2">
        <f t="shared" si="4"/>
        <v>0</v>
      </c>
      <c r="Z94" s="2">
        <f t="shared" si="5"/>
        <v>6</v>
      </c>
      <c r="AA94">
        <f t="shared" si="7"/>
        <v>0</v>
      </c>
    </row>
    <row r="95" spans="1:27" ht="15.7" customHeight="1" x14ac:dyDescent="0.4">
      <c r="A95" s="2" t="s">
        <v>465</v>
      </c>
      <c r="B95" s="7" t="s">
        <v>948</v>
      </c>
      <c r="C95" s="2" t="s">
        <v>465</v>
      </c>
      <c r="D95" s="2" t="s">
        <v>39</v>
      </c>
      <c r="E95" s="2" t="s">
        <v>949</v>
      </c>
      <c r="F95" s="2" t="s">
        <v>950</v>
      </c>
      <c r="G95" s="2" t="s">
        <v>951</v>
      </c>
      <c r="H95" s="2" t="s">
        <v>952</v>
      </c>
      <c r="I95" s="7" t="s">
        <v>346</v>
      </c>
      <c r="J95" s="2">
        <v>48</v>
      </c>
      <c r="K95" s="2">
        <v>25.5</v>
      </c>
      <c r="L95" s="2">
        <v>30</v>
      </c>
      <c r="M95" s="2">
        <f t="shared" si="0"/>
        <v>103.5</v>
      </c>
      <c r="N95" s="2">
        <v>0</v>
      </c>
      <c r="O95" s="7" t="s">
        <v>79</v>
      </c>
      <c r="P95" s="7" t="s">
        <v>79</v>
      </c>
      <c r="Q95" s="7" t="s">
        <v>79</v>
      </c>
      <c r="R95" s="7" t="s">
        <v>79</v>
      </c>
      <c r="S95" t="s">
        <v>79</v>
      </c>
      <c r="T95" s="7" t="str" cm="1">
        <f t="array" ref="T95">IF(ISNUMBER(MATCH(TRIM(A95)&amp;"", _xlfn._xlws.FILTER(TRIM(Project_Scores!$D$2:$D$300)&amp;"", Project_Scores!$I$2:$I$300=TRUE, ""), 0)), "حاضر", "غائب")</f>
        <v>غائب</v>
      </c>
      <c r="U95" s="2" t="str">
        <f t="shared" si="1"/>
        <v>5 من 6</v>
      </c>
      <c r="V95" s="21">
        <f t="shared" si="2"/>
        <v>0.83333333333333337</v>
      </c>
      <c r="W95" s="2">
        <f t="shared" si="3"/>
        <v>103.5</v>
      </c>
      <c r="X95" s="2">
        <v>143.5</v>
      </c>
      <c r="Y95" s="2">
        <f t="shared" si="4"/>
        <v>5</v>
      </c>
      <c r="Z95" s="2">
        <f t="shared" si="5"/>
        <v>6</v>
      </c>
      <c r="AA95">
        <f t="shared" si="7"/>
        <v>148.5</v>
      </c>
    </row>
    <row r="96" spans="1:27" ht="15.7" customHeight="1" x14ac:dyDescent="0.4">
      <c r="A96" s="2" t="s">
        <v>320</v>
      </c>
      <c r="B96" s="7" t="s">
        <v>319</v>
      </c>
      <c r="C96" s="2" t="s">
        <v>320</v>
      </c>
      <c r="D96" s="2" t="s">
        <v>39</v>
      </c>
      <c r="E96" s="2" t="s">
        <v>953</v>
      </c>
      <c r="F96" s="2" t="s">
        <v>954</v>
      </c>
      <c r="G96" s="2" t="s">
        <v>955</v>
      </c>
      <c r="H96" s="2" t="s">
        <v>956</v>
      </c>
      <c r="I96" s="2" t="s">
        <v>553</v>
      </c>
      <c r="J96" s="2">
        <v>40</v>
      </c>
      <c r="K96" s="2">
        <v>40</v>
      </c>
      <c r="L96" s="2">
        <v>30</v>
      </c>
      <c r="M96" s="2">
        <f t="shared" si="0"/>
        <v>110</v>
      </c>
      <c r="N96" s="2">
        <v>8</v>
      </c>
      <c r="O96" s="7" t="s">
        <v>79</v>
      </c>
      <c r="P96" s="7" t="s">
        <v>79</v>
      </c>
      <c r="Q96" s="7" t="s">
        <v>79</v>
      </c>
      <c r="R96" s="7" t="s">
        <v>79</v>
      </c>
      <c r="S96" t="s">
        <v>79</v>
      </c>
      <c r="T96" s="7" t="str" cm="1">
        <f t="array" ref="T96">IF(ISNUMBER(MATCH(TRIM(A96)&amp;"", _xlfn._xlws.FILTER(TRIM(Project_Scores!$D$2:$D$300)&amp;"", Project_Scores!$I$2:$I$300=TRUE, ""), 0)), "حاضر", "غائب")</f>
        <v>غائب</v>
      </c>
      <c r="U96" s="2" t="str">
        <f t="shared" si="1"/>
        <v>5 من 6</v>
      </c>
      <c r="V96" s="21">
        <f t="shared" si="2"/>
        <v>0.83333333333333337</v>
      </c>
      <c r="W96" s="2">
        <f t="shared" si="3"/>
        <v>118</v>
      </c>
      <c r="X96" s="2">
        <v>158</v>
      </c>
      <c r="Y96" s="2">
        <f t="shared" si="4"/>
        <v>5</v>
      </c>
      <c r="Z96" s="2">
        <f t="shared" si="5"/>
        <v>6</v>
      </c>
      <c r="AA96">
        <f t="shared" si="7"/>
        <v>163</v>
      </c>
    </row>
    <row r="97" spans="1:27" ht="15.7" customHeight="1" x14ac:dyDescent="0.4">
      <c r="A97" s="2" t="s">
        <v>265</v>
      </c>
      <c r="B97" s="7" t="s">
        <v>264</v>
      </c>
      <c r="C97" s="2" t="s">
        <v>265</v>
      </c>
      <c r="D97" s="2" t="s">
        <v>39</v>
      </c>
      <c r="E97" s="2" t="s">
        <v>958</v>
      </c>
      <c r="F97" s="2" t="s">
        <v>741</v>
      </c>
      <c r="G97" s="2" t="s">
        <v>959</v>
      </c>
      <c r="H97" s="2" t="s">
        <v>740</v>
      </c>
      <c r="I97" s="7" t="s">
        <v>483</v>
      </c>
      <c r="J97" s="2">
        <v>55</v>
      </c>
      <c r="K97" s="2">
        <v>45</v>
      </c>
      <c r="L97" s="2">
        <v>36</v>
      </c>
      <c r="M97" s="2">
        <f t="shared" si="0"/>
        <v>136</v>
      </c>
      <c r="N97" s="2">
        <v>0</v>
      </c>
      <c r="O97" s="7" t="s">
        <v>79</v>
      </c>
      <c r="P97" s="7" t="s">
        <v>79</v>
      </c>
      <c r="Q97" s="7" t="s">
        <v>79</v>
      </c>
      <c r="R97" s="7" t="s">
        <v>79</v>
      </c>
      <c r="S97" t="s">
        <v>79</v>
      </c>
      <c r="T97" s="7" t="str" cm="1">
        <f t="array" ref="T97">IF(ISNUMBER(MATCH(TRIM(A97)&amp;"", _xlfn._xlws.FILTER(TRIM(Project_Scores!$D$2:$D$300)&amp;"", Project_Scores!$I$2:$I$300=TRUE, ""), 0)), "حاضر", "غائب")</f>
        <v>غائب</v>
      </c>
      <c r="U97" s="2" t="str">
        <f t="shared" si="1"/>
        <v>5 من 6</v>
      </c>
      <c r="V97" s="21">
        <f t="shared" si="2"/>
        <v>0.83333333333333337</v>
      </c>
      <c r="W97" s="2">
        <f t="shared" si="3"/>
        <v>136</v>
      </c>
      <c r="X97" s="2">
        <v>176</v>
      </c>
      <c r="Y97" s="2">
        <f t="shared" si="4"/>
        <v>5</v>
      </c>
      <c r="Z97" s="2">
        <f t="shared" si="5"/>
        <v>6</v>
      </c>
      <c r="AA97">
        <f t="shared" si="7"/>
        <v>181</v>
      </c>
    </row>
    <row r="98" spans="1:27" ht="15.7" customHeight="1" x14ac:dyDescent="0.4">
      <c r="A98" s="2" t="s">
        <v>960</v>
      </c>
      <c r="B98" s="7" t="s">
        <v>961</v>
      </c>
      <c r="C98" s="2" t="s">
        <v>960</v>
      </c>
      <c r="D98" s="2" t="s">
        <v>105</v>
      </c>
      <c r="E98" s="2" t="s">
        <v>962</v>
      </c>
      <c r="F98" s="2" t="s">
        <v>963</v>
      </c>
      <c r="G98" s="2" t="s">
        <v>964</v>
      </c>
      <c r="H98" s="2" t="s">
        <v>965</v>
      </c>
      <c r="I98" s="7" t="s">
        <v>483</v>
      </c>
      <c r="J98" s="2">
        <v>0</v>
      </c>
      <c r="K98" s="2">
        <v>0</v>
      </c>
      <c r="L98" s="2">
        <v>0</v>
      </c>
      <c r="M98" s="2">
        <f t="shared" si="0"/>
        <v>0</v>
      </c>
      <c r="N98" s="2">
        <v>0</v>
      </c>
      <c r="O98" s="7" t="s">
        <v>113</v>
      </c>
      <c r="P98" s="7" t="s">
        <v>113</v>
      </c>
      <c r="Q98" s="7" t="s">
        <v>113</v>
      </c>
      <c r="R98" s="7" t="s">
        <v>113</v>
      </c>
      <c r="S98" t="s">
        <v>113</v>
      </c>
      <c r="T98" s="7" t="str" cm="1">
        <f t="array" ref="T98">IF(ISNUMBER(MATCH(TRIM(A98)&amp;"", _xlfn._xlws.FILTER(TRIM(Project_Scores!$D$2:$D$300)&amp;"", Project_Scores!$I$2:$I$300=TRUE, ""), 0)), "حاضر", "غائب")</f>
        <v>غائب</v>
      </c>
      <c r="U98" s="2" t="str">
        <f t="shared" si="1"/>
        <v>0 من 6</v>
      </c>
      <c r="V98" s="21">
        <f t="shared" si="2"/>
        <v>0</v>
      </c>
      <c r="W98" s="2">
        <f t="shared" si="3"/>
        <v>0</v>
      </c>
      <c r="X98" s="2">
        <v>0</v>
      </c>
      <c r="Y98" s="2">
        <f t="shared" si="4"/>
        <v>0</v>
      </c>
      <c r="Z98" s="2">
        <f t="shared" si="5"/>
        <v>6</v>
      </c>
      <c r="AA98">
        <f t="shared" si="7"/>
        <v>0</v>
      </c>
    </row>
    <row r="99" spans="1:27" ht="15.7" customHeight="1" x14ac:dyDescent="0.4">
      <c r="A99" s="2" t="s">
        <v>705</v>
      </c>
      <c r="B99" s="7" t="s">
        <v>704</v>
      </c>
      <c r="C99" s="2" t="s">
        <v>705</v>
      </c>
      <c r="D99" s="2" t="s">
        <v>137</v>
      </c>
      <c r="E99" s="2" t="s">
        <v>138</v>
      </c>
      <c r="F99" s="2" t="s">
        <v>966</v>
      </c>
      <c r="G99" s="2" t="s">
        <v>967</v>
      </c>
      <c r="H99" s="2" t="s">
        <v>968</v>
      </c>
      <c r="I99" s="7" t="s">
        <v>53</v>
      </c>
      <c r="J99" s="2">
        <v>50</v>
      </c>
      <c r="K99" s="2">
        <v>45</v>
      </c>
      <c r="L99" s="2">
        <v>39</v>
      </c>
      <c r="M99" s="2">
        <f t="shared" si="0"/>
        <v>134</v>
      </c>
      <c r="N99" s="2">
        <v>34</v>
      </c>
      <c r="O99" s="7" t="s">
        <v>79</v>
      </c>
      <c r="P99" s="7" t="s">
        <v>79</v>
      </c>
      <c r="Q99" s="7" t="s">
        <v>79</v>
      </c>
      <c r="R99" s="7" t="s">
        <v>79</v>
      </c>
      <c r="S99" t="s">
        <v>79</v>
      </c>
      <c r="T99" s="7" t="str" cm="1">
        <f t="array" ref="T99">IF(ISNUMBER(MATCH(TRIM(A99)&amp;"", _xlfn._xlws.FILTER(TRIM(Project_Scores!$D$2:$D$300)&amp;"", Project_Scores!$I$2:$I$300=TRUE, ""), 0)), "حاضر", "غائب")</f>
        <v>غائب</v>
      </c>
      <c r="U99" s="2" t="str">
        <f t="shared" si="1"/>
        <v>5 من 6</v>
      </c>
      <c r="V99" s="21">
        <f t="shared" si="2"/>
        <v>0.83333333333333337</v>
      </c>
      <c r="W99" s="2">
        <f t="shared" si="3"/>
        <v>168</v>
      </c>
      <c r="X99" s="2">
        <v>208</v>
      </c>
      <c r="Y99" s="2">
        <f t="shared" si="4"/>
        <v>5</v>
      </c>
      <c r="Z99" s="2">
        <f t="shared" si="5"/>
        <v>6</v>
      </c>
      <c r="AA99">
        <f t="shared" si="7"/>
        <v>213</v>
      </c>
    </row>
    <row r="100" spans="1:27" ht="15.7" customHeight="1" x14ac:dyDescent="0.4">
      <c r="A100" s="2" t="s">
        <v>789</v>
      </c>
      <c r="B100" s="7" t="s">
        <v>970</v>
      </c>
      <c r="C100" s="2" t="s">
        <v>789</v>
      </c>
      <c r="D100" s="2" t="s">
        <v>39</v>
      </c>
      <c r="E100" s="2" t="s">
        <v>971</v>
      </c>
      <c r="F100" s="2" t="s">
        <v>972</v>
      </c>
      <c r="G100" s="2" t="s">
        <v>973</v>
      </c>
      <c r="H100" s="2" t="s">
        <v>974</v>
      </c>
      <c r="I100" s="7" t="s">
        <v>53</v>
      </c>
      <c r="J100" s="2">
        <v>0</v>
      </c>
      <c r="K100" s="2">
        <v>10</v>
      </c>
      <c r="L100" s="2">
        <v>15</v>
      </c>
      <c r="M100" s="2">
        <f t="shared" si="0"/>
        <v>25</v>
      </c>
      <c r="N100" s="2">
        <v>22</v>
      </c>
      <c r="O100" s="7" t="s">
        <v>79</v>
      </c>
      <c r="P100" s="7" t="s">
        <v>79</v>
      </c>
      <c r="Q100" s="7" t="s">
        <v>113</v>
      </c>
      <c r="R100" s="7" t="s">
        <v>79</v>
      </c>
      <c r="S100" t="s">
        <v>79</v>
      </c>
      <c r="T100" s="7" t="str" cm="1">
        <f t="array" ref="T100">IF(ISNUMBER(MATCH(TRIM(A100)&amp;"", _xlfn._xlws.FILTER(TRIM(Project_Scores!$D$2:$D$300)&amp;"", Project_Scores!$I$2:$I$300=TRUE, ""), 0)), "حاضر", "غائب")</f>
        <v>غائب</v>
      </c>
      <c r="U100" s="2" t="str">
        <f t="shared" si="1"/>
        <v>4 من 6</v>
      </c>
      <c r="V100" s="21">
        <f t="shared" si="2"/>
        <v>0.66666666666666663</v>
      </c>
      <c r="W100" s="2">
        <f t="shared" si="3"/>
        <v>47</v>
      </c>
      <c r="X100" s="2">
        <v>77</v>
      </c>
      <c r="Y100" s="2">
        <f t="shared" si="4"/>
        <v>4</v>
      </c>
      <c r="Z100" s="2">
        <f t="shared" si="5"/>
        <v>6</v>
      </c>
      <c r="AA100">
        <f t="shared" si="7"/>
        <v>81</v>
      </c>
    </row>
    <row r="101" spans="1:27" ht="15.7" customHeight="1" x14ac:dyDescent="0.4">
      <c r="A101" s="2" t="s">
        <v>154</v>
      </c>
      <c r="B101" s="7" t="s">
        <v>975</v>
      </c>
      <c r="C101" s="2" t="s">
        <v>154</v>
      </c>
      <c r="D101" s="2" t="s">
        <v>39</v>
      </c>
      <c r="E101" s="2" t="s">
        <v>976</v>
      </c>
      <c r="F101" s="2" t="s">
        <v>291</v>
      </c>
      <c r="G101" s="2" t="s">
        <v>977</v>
      </c>
      <c r="H101" s="2" t="s">
        <v>290</v>
      </c>
      <c r="I101" s="7" t="s">
        <v>160</v>
      </c>
      <c r="J101" s="2">
        <v>40</v>
      </c>
      <c r="K101" s="2">
        <v>39</v>
      </c>
      <c r="L101" s="2">
        <v>15</v>
      </c>
      <c r="M101" s="2">
        <f t="shared" si="0"/>
        <v>94</v>
      </c>
      <c r="N101" s="2">
        <v>2</v>
      </c>
      <c r="O101" s="7" t="s">
        <v>113</v>
      </c>
      <c r="P101" s="7" t="s">
        <v>113</v>
      </c>
      <c r="Q101" s="7" t="s">
        <v>113</v>
      </c>
      <c r="R101" s="7" t="s">
        <v>79</v>
      </c>
      <c r="S101" t="s">
        <v>79</v>
      </c>
      <c r="T101" s="7" t="str" cm="1">
        <f t="array" ref="T101">IF(ISNUMBER(MATCH(TRIM(A101)&amp;"", _xlfn._xlws.FILTER(TRIM(Project_Scores!$D$2:$D$300)&amp;"", Project_Scores!$I$2:$I$300=TRUE, ""), 0)), "حاضر", "غائب")</f>
        <v>غائب</v>
      </c>
      <c r="U101" s="2" t="str">
        <f t="shared" si="1"/>
        <v>2 من 6</v>
      </c>
      <c r="V101" s="21">
        <f t="shared" si="2"/>
        <v>0.33333333333333331</v>
      </c>
      <c r="W101" s="2">
        <f t="shared" si="3"/>
        <v>96</v>
      </c>
      <c r="X101" s="2">
        <v>106</v>
      </c>
      <c r="Y101" s="2">
        <f t="shared" si="4"/>
        <v>2</v>
      </c>
      <c r="Z101" s="2">
        <f t="shared" si="5"/>
        <v>6</v>
      </c>
      <c r="AA101">
        <f t="shared" si="7"/>
        <v>108</v>
      </c>
    </row>
    <row r="102" spans="1:27" ht="15.7" customHeight="1" x14ac:dyDescent="0.4">
      <c r="A102" s="2" t="s">
        <v>780</v>
      </c>
      <c r="B102" s="7" t="s">
        <v>779</v>
      </c>
      <c r="C102" s="2" t="s">
        <v>780</v>
      </c>
      <c r="D102" s="2" t="s">
        <v>137</v>
      </c>
      <c r="E102" s="2" t="s">
        <v>138</v>
      </c>
      <c r="F102" s="2" t="s">
        <v>978</v>
      </c>
      <c r="G102" s="2" t="s">
        <v>979</v>
      </c>
      <c r="H102" s="2" t="s">
        <v>980</v>
      </c>
      <c r="I102" s="7" t="s">
        <v>53</v>
      </c>
      <c r="J102" s="2">
        <v>40</v>
      </c>
      <c r="K102" s="2">
        <v>40</v>
      </c>
      <c r="L102" s="2">
        <v>35</v>
      </c>
      <c r="M102" s="2">
        <f t="shared" si="0"/>
        <v>115</v>
      </c>
      <c r="N102" s="2">
        <v>5</v>
      </c>
      <c r="O102" s="7" t="s">
        <v>79</v>
      </c>
      <c r="P102" s="7" t="s">
        <v>79</v>
      </c>
      <c r="Q102" s="7" t="s">
        <v>79</v>
      </c>
      <c r="R102" s="7" t="s">
        <v>79</v>
      </c>
      <c r="S102" t="s">
        <v>79</v>
      </c>
      <c r="T102" s="7" t="str" cm="1">
        <f t="array" ref="T102">IF(ISNUMBER(MATCH(TRIM(A102)&amp;"", _xlfn._xlws.FILTER(TRIM(Project_Scores!$D$2:$D$300)&amp;"", Project_Scores!$I$2:$I$300=TRUE, ""), 0)), "حاضر", "غائب")</f>
        <v>غائب</v>
      </c>
      <c r="U102" s="2" t="str">
        <f t="shared" si="1"/>
        <v>5 من 6</v>
      </c>
      <c r="V102" s="21">
        <f t="shared" si="2"/>
        <v>0.83333333333333337</v>
      </c>
      <c r="W102" s="2">
        <f t="shared" si="3"/>
        <v>120</v>
      </c>
      <c r="X102" s="2">
        <v>160</v>
      </c>
      <c r="Y102" s="2">
        <f t="shared" si="4"/>
        <v>5</v>
      </c>
      <c r="Z102" s="2">
        <f t="shared" si="5"/>
        <v>6</v>
      </c>
      <c r="AA102">
        <f t="shared" si="7"/>
        <v>165</v>
      </c>
    </row>
    <row r="103" spans="1:27" ht="15.7" customHeight="1" x14ac:dyDescent="0.4">
      <c r="A103" s="2" t="s">
        <v>981</v>
      </c>
      <c r="B103" s="7" t="s">
        <v>982</v>
      </c>
      <c r="C103" s="2" t="s">
        <v>981</v>
      </c>
      <c r="D103" s="2" t="s">
        <v>137</v>
      </c>
      <c r="E103" s="2" t="s">
        <v>177</v>
      </c>
      <c r="F103" s="2" t="s">
        <v>983</v>
      </c>
      <c r="G103" s="2" t="s">
        <v>984</v>
      </c>
      <c r="H103" s="2" t="s">
        <v>985</v>
      </c>
      <c r="I103" s="7" t="s">
        <v>483</v>
      </c>
      <c r="J103" s="2">
        <v>0</v>
      </c>
      <c r="K103" s="2">
        <v>0</v>
      </c>
      <c r="L103" s="2">
        <v>0</v>
      </c>
      <c r="M103" s="2">
        <f t="shared" si="0"/>
        <v>0</v>
      </c>
      <c r="N103" s="2">
        <v>0</v>
      </c>
      <c r="O103" s="7" t="s">
        <v>113</v>
      </c>
      <c r="P103" s="7" t="s">
        <v>113</v>
      </c>
      <c r="Q103" s="7" t="s">
        <v>113</v>
      </c>
      <c r="R103" s="7" t="s">
        <v>113</v>
      </c>
      <c r="S103" t="s">
        <v>113</v>
      </c>
      <c r="T103" s="7" t="str" cm="1">
        <f t="array" ref="T103">IF(ISNUMBER(MATCH(TRIM(A103)&amp;"", _xlfn._xlws.FILTER(TRIM(Project_Scores!$D$2:$D$300)&amp;"", Project_Scores!$I$2:$I$300=TRUE, ""), 0)), "حاضر", "غائب")</f>
        <v>غائب</v>
      </c>
      <c r="U103" s="2" t="str">
        <f t="shared" si="1"/>
        <v>0 من 6</v>
      </c>
      <c r="V103" s="21">
        <f t="shared" si="2"/>
        <v>0</v>
      </c>
      <c r="W103" s="2">
        <f t="shared" si="3"/>
        <v>0</v>
      </c>
      <c r="X103" s="2">
        <v>0</v>
      </c>
      <c r="Y103" s="2">
        <f t="shared" si="4"/>
        <v>0</v>
      </c>
      <c r="Z103" s="2">
        <f t="shared" si="5"/>
        <v>6</v>
      </c>
      <c r="AA103">
        <f t="shared" si="7"/>
        <v>0</v>
      </c>
    </row>
    <row r="104" spans="1:27" ht="15.7" customHeight="1" x14ac:dyDescent="0.4">
      <c r="A104" s="2" t="s">
        <v>655</v>
      </c>
      <c r="B104" s="7" t="s">
        <v>654</v>
      </c>
      <c r="C104" s="2" t="s">
        <v>655</v>
      </c>
      <c r="D104" s="2" t="s">
        <v>105</v>
      </c>
      <c r="E104" s="2" t="s">
        <v>986</v>
      </c>
      <c r="F104" s="2" t="s">
        <v>987</v>
      </c>
      <c r="G104" s="2" t="s">
        <v>988</v>
      </c>
      <c r="H104" s="2" t="s">
        <v>989</v>
      </c>
      <c r="I104" s="7" t="s">
        <v>132</v>
      </c>
      <c r="J104" s="2">
        <v>55</v>
      </c>
      <c r="K104" s="2">
        <v>45</v>
      </c>
      <c r="L104" s="2">
        <v>37</v>
      </c>
      <c r="M104" s="2">
        <f t="shared" si="0"/>
        <v>137</v>
      </c>
      <c r="N104" s="2">
        <v>19</v>
      </c>
      <c r="O104" s="7" t="s">
        <v>79</v>
      </c>
      <c r="P104" s="7" t="s">
        <v>79</v>
      </c>
      <c r="Q104" s="7" t="s">
        <v>79</v>
      </c>
      <c r="R104" s="7" t="s">
        <v>79</v>
      </c>
      <c r="S104" t="s">
        <v>79</v>
      </c>
      <c r="T104" s="7" t="str" cm="1">
        <f t="array" ref="T104">IF(ISNUMBER(MATCH(TRIM(A104)&amp;"", _xlfn._xlws.FILTER(TRIM(Project_Scores!$D$2:$D$300)&amp;"", Project_Scores!$I$2:$I$300=TRUE, ""), 0)), "حاضر", "غائب")</f>
        <v>غائب</v>
      </c>
      <c r="U104" s="2" t="str">
        <f t="shared" si="1"/>
        <v>5 من 6</v>
      </c>
      <c r="V104" s="21">
        <f t="shared" si="2"/>
        <v>0.83333333333333337</v>
      </c>
      <c r="W104" s="2">
        <f t="shared" si="3"/>
        <v>156</v>
      </c>
      <c r="X104" s="2">
        <v>196</v>
      </c>
      <c r="Y104" s="2">
        <f t="shared" si="4"/>
        <v>5</v>
      </c>
      <c r="Z104" s="2">
        <f t="shared" si="5"/>
        <v>6</v>
      </c>
      <c r="AA104">
        <f t="shared" si="7"/>
        <v>201</v>
      </c>
    </row>
    <row r="105" spans="1:27" ht="15.7" customHeight="1" x14ac:dyDescent="0.4">
      <c r="A105" s="2" t="s">
        <v>240</v>
      </c>
      <c r="B105" s="7" t="s">
        <v>990</v>
      </c>
      <c r="C105" s="2" t="s">
        <v>240</v>
      </c>
      <c r="D105" s="2" t="s">
        <v>39</v>
      </c>
      <c r="E105" s="2" t="s">
        <v>991</v>
      </c>
      <c r="F105" s="2" t="s">
        <v>581</v>
      </c>
      <c r="G105" s="2" t="s">
        <v>992</v>
      </c>
      <c r="H105" s="2" t="s">
        <v>579</v>
      </c>
      <c r="I105" s="7" t="s">
        <v>844</v>
      </c>
      <c r="J105" s="2">
        <v>44</v>
      </c>
      <c r="K105" s="2">
        <v>34</v>
      </c>
      <c r="L105" s="2">
        <v>10</v>
      </c>
      <c r="M105" s="2">
        <f t="shared" si="0"/>
        <v>88</v>
      </c>
      <c r="N105" s="2">
        <v>0</v>
      </c>
      <c r="O105" s="7" t="s">
        <v>79</v>
      </c>
      <c r="P105" s="7" t="s">
        <v>79</v>
      </c>
      <c r="Q105" s="7" t="s">
        <v>79</v>
      </c>
      <c r="R105" s="7" t="s">
        <v>79</v>
      </c>
      <c r="S105" t="s">
        <v>79</v>
      </c>
      <c r="T105" s="7" t="str" cm="1">
        <f t="array" ref="T105">IF(ISNUMBER(MATCH(TRIM(A105)&amp;"", _xlfn._xlws.FILTER(TRIM(Project_Scores!$D$2:$D$300)&amp;"", Project_Scores!$I$2:$I$300=TRUE, ""), 0)), "حاضر", "غائب")</f>
        <v>غائب</v>
      </c>
      <c r="U105" s="2" t="str">
        <f t="shared" si="1"/>
        <v>5 من 6</v>
      </c>
      <c r="V105" s="21">
        <f t="shared" si="2"/>
        <v>0.83333333333333337</v>
      </c>
      <c r="W105" s="2">
        <f t="shared" si="3"/>
        <v>88</v>
      </c>
      <c r="X105" s="2">
        <v>128</v>
      </c>
      <c r="Y105" s="2">
        <f t="shared" si="4"/>
        <v>5</v>
      </c>
      <c r="Z105" s="2">
        <f t="shared" si="5"/>
        <v>6</v>
      </c>
      <c r="AA105">
        <f t="shared" si="7"/>
        <v>133</v>
      </c>
    </row>
    <row r="106" spans="1:27" ht="15.7" customHeight="1" x14ac:dyDescent="0.4">
      <c r="A106" s="2" t="s">
        <v>354</v>
      </c>
      <c r="B106" s="7" t="s">
        <v>993</v>
      </c>
      <c r="C106" s="2" t="s">
        <v>354</v>
      </c>
      <c r="D106" s="2" t="s">
        <v>39</v>
      </c>
      <c r="E106" s="2" t="s">
        <v>994</v>
      </c>
      <c r="F106" s="2" t="s">
        <v>995</v>
      </c>
      <c r="G106" s="2" t="s">
        <v>996</v>
      </c>
      <c r="H106" s="2" t="s">
        <v>997</v>
      </c>
      <c r="I106" s="7" t="s">
        <v>844</v>
      </c>
      <c r="J106" s="2">
        <v>55</v>
      </c>
      <c r="K106" s="2">
        <v>40</v>
      </c>
      <c r="L106" s="2">
        <v>35</v>
      </c>
      <c r="M106" s="2">
        <f t="shared" si="0"/>
        <v>130</v>
      </c>
      <c r="N106" s="2">
        <v>0</v>
      </c>
      <c r="O106" s="7" t="s">
        <v>79</v>
      </c>
      <c r="P106" s="7" t="s">
        <v>79</v>
      </c>
      <c r="Q106" s="7" t="s">
        <v>79</v>
      </c>
      <c r="R106" s="7" t="s">
        <v>79</v>
      </c>
      <c r="S106" t="s">
        <v>79</v>
      </c>
      <c r="T106" s="7" t="str" cm="1">
        <f t="array" ref="T106">IF(ISNUMBER(MATCH(TRIM(A106)&amp;"", _xlfn._xlws.FILTER(TRIM(Project_Scores!$D$2:$D$300)&amp;"", Project_Scores!$I$2:$I$300=TRUE, ""), 0)), "حاضر", "غائب")</f>
        <v>غائب</v>
      </c>
      <c r="U106" s="2" t="str">
        <f t="shared" si="1"/>
        <v>5 من 6</v>
      </c>
      <c r="V106" s="21">
        <f t="shared" si="2"/>
        <v>0.83333333333333337</v>
      </c>
      <c r="W106" s="2">
        <f t="shared" si="3"/>
        <v>130</v>
      </c>
      <c r="X106" s="2">
        <v>170</v>
      </c>
      <c r="Y106" s="2">
        <f t="shared" si="4"/>
        <v>5</v>
      </c>
      <c r="Z106" s="2">
        <f t="shared" si="5"/>
        <v>6</v>
      </c>
      <c r="AA106">
        <f t="shared" si="7"/>
        <v>175</v>
      </c>
    </row>
    <row r="107" spans="1:27" ht="15.7" customHeight="1" x14ac:dyDescent="0.4">
      <c r="A107" s="2" t="s">
        <v>440</v>
      </c>
      <c r="B107" s="7" t="s">
        <v>998</v>
      </c>
      <c r="C107" s="2" t="s">
        <v>440</v>
      </c>
      <c r="D107" s="2" t="s">
        <v>105</v>
      </c>
      <c r="E107" s="2" t="s">
        <v>999</v>
      </c>
      <c r="F107" s="2" t="s">
        <v>1000</v>
      </c>
      <c r="G107" s="2" t="s">
        <v>1001</v>
      </c>
      <c r="H107" s="2" t="s">
        <v>1002</v>
      </c>
      <c r="I107" s="7" t="s">
        <v>150</v>
      </c>
      <c r="J107" s="2">
        <v>38</v>
      </c>
      <c r="K107" s="2">
        <v>23</v>
      </c>
      <c r="L107" s="2">
        <v>10</v>
      </c>
      <c r="M107" s="2">
        <f t="shared" si="0"/>
        <v>71</v>
      </c>
      <c r="N107" s="2">
        <v>4</v>
      </c>
      <c r="O107" s="7" t="s">
        <v>79</v>
      </c>
      <c r="P107" s="7" t="s">
        <v>79</v>
      </c>
      <c r="Q107" s="7" t="s">
        <v>79</v>
      </c>
      <c r="R107" s="7" t="s">
        <v>113</v>
      </c>
      <c r="S107" t="s">
        <v>79</v>
      </c>
      <c r="T107" s="7" t="str" cm="1">
        <f t="array" ref="T107">IF(ISNUMBER(MATCH(TRIM(A107)&amp;"", _xlfn._xlws.FILTER(TRIM(Project_Scores!$D$2:$D$300)&amp;"", Project_Scores!$I$2:$I$300=TRUE, ""), 0)), "حاضر", "غائب")</f>
        <v>غائب</v>
      </c>
      <c r="U107" s="2" t="str">
        <f t="shared" si="1"/>
        <v>4 من 6</v>
      </c>
      <c r="V107" s="21">
        <f t="shared" si="2"/>
        <v>0.66666666666666663</v>
      </c>
      <c r="W107" s="2">
        <f t="shared" si="3"/>
        <v>75</v>
      </c>
      <c r="X107" s="2">
        <v>105</v>
      </c>
      <c r="Y107" s="2">
        <f t="shared" si="4"/>
        <v>4</v>
      </c>
      <c r="Z107" s="2">
        <f t="shared" si="5"/>
        <v>6</v>
      </c>
      <c r="AA107">
        <f t="shared" si="7"/>
        <v>109</v>
      </c>
    </row>
    <row r="108" spans="1:27" ht="15.7" customHeight="1" x14ac:dyDescent="0.4">
      <c r="A108" s="2" t="s">
        <v>677</v>
      </c>
      <c r="B108" s="7" t="s">
        <v>675</v>
      </c>
      <c r="C108" s="2" t="s">
        <v>677</v>
      </c>
      <c r="D108" s="2" t="s">
        <v>137</v>
      </c>
      <c r="E108" s="2" t="s">
        <v>138</v>
      </c>
      <c r="F108" s="2" t="s">
        <v>1003</v>
      </c>
      <c r="G108" s="2" t="s">
        <v>1004</v>
      </c>
      <c r="H108" s="2" t="s">
        <v>1005</v>
      </c>
      <c r="I108" s="7" t="s">
        <v>219</v>
      </c>
      <c r="J108" s="2">
        <v>49.5</v>
      </c>
      <c r="K108" s="2">
        <v>45</v>
      </c>
      <c r="L108" s="2">
        <v>35</v>
      </c>
      <c r="M108" s="2">
        <f t="shared" si="0"/>
        <v>129.5</v>
      </c>
      <c r="N108" s="2">
        <v>3</v>
      </c>
      <c r="O108" s="7" t="s">
        <v>79</v>
      </c>
      <c r="P108" s="7" t="s">
        <v>79</v>
      </c>
      <c r="Q108" s="7" t="s">
        <v>79</v>
      </c>
      <c r="R108" s="7" t="s">
        <v>79</v>
      </c>
      <c r="S108" t="s">
        <v>79</v>
      </c>
      <c r="T108" s="7" t="str" cm="1">
        <f t="array" ref="T108">IF(ISNUMBER(MATCH(TRIM(A108)&amp;"", _xlfn._xlws.FILTER(TRIM(Project_Scores!$D$2:$D$300)&amp;"", Project_Scores!$I$2:$I$300=TRUE, ""), 0)), "حاضر", "غائب")</f>
        <v>غائب</v>
      </c>
      <c r="U108" s="2" t="str">
        <f t="shared" si="1"/>
        <v>5 من 6</v>
      </c>
      <c r="V108" s="21">
        <f t="shared" si="2"/>
        <v>0.83333333333333337</v>
      </c>
      <c r="W108" s="2">
        <f t="shared" si="3"/>
        <v>132.5</v>
      </c>
      <c r="X108" s="2">
        <v>172.5</v>
      </c>
      <c r="Y108" s="2">
        <f t="shared" si="4"/>
        <v>5</v>
      </c>
      <c r="Z108" s="2">
        <f t="shared" si="5"/>
        <v>6</v>
      </c>
      <c r="AA108">
        <f t="shared" si="7"/>
        <v>177.5</v>
      </c>
    </row>
    <row r="109" spans="1:27" ht="15.7" customHeight="1" x14ac:dyDescent="0.4">
      <c r="A109" s="2" t="s">
        <v>349</v>
      </c>
      <c r="B109" s="7" t="s">
        <v>348</v>
      </c>
      <c r="C109" s="2" t="s">
        <v>349</v>
      </c>
      <c r="D109" s="2" t="s">
        <v>105</v>
      </c>
      <c r="E109" s="2" t="s">
        <v>1006</v>
      </c>
      <c r="F109" s="2" t="s">
        <v>1007</v>
      </c>
      <c r="G109" s="2" t="s">
        <v>1008</v>
      </c>
      <c r="H109" s="2" t="s">
        <v>1009</v>
      </c>
      <c r="I109" s="7" t="s">
        <v>208</v>
      </c>
      <c r="J109" s="2">
        <v>55</v>
      </c>
      <c r="K109" s="2">
        <v>40</v>
      </c>
      <c r="L109" s="2">
        <v>35</v>
      </c>
      <c r="M109" s="2">
        <f t="shared" si="0"/>
        <v>130</v>
      </c>
      <c r="N109" s="2">
        <v>3</v>
      </c>
      <c r="O109" s="7" t="s">
        <v>79</v>
      </c>
      <c r="P109" s="7" t="s">
        <v>79</v>
      </c>
      <c r="Q109" s="7" t="s">
        <v>79</v>
      </c>
      <c r="R109" s="7" t="s">
        <v>79</v>
      </c>
      <c r="S109" t="s">
        <v>79</v>
      </c>
      <c r="T109" s="7" t="str" cm="1">
        <f t="array" ref="T109">IF(ISNUMBER(MATCH(TRIM(A109)&amp;"", _xlfn._xlws.FILTER(TRIM(Project_Scores!$D$2:$D$300)&amp;"", Project_Scores!$I$2:$I$300=TRUE, ""), 0)), "حاضر", "غائب")</f>
        <v>غائب</v>
      </c>
      <c r="U109" s="2" t="str">
        <f t="shared" si="1"/>
        <v>5 من 6</v>
      </c>
      <c r="V109" s="21">
        <f t="shared" si="2"/>
        <v>0.83333333333333337</v>
      </c>
      <c r="W109" s="2">
        <f t="shared" si="3"/>
        <v>133</v>
      </c>
      <c r="X109" s="2">
        <v>173</v>
      </c>
      <c r="Y109" s="2">
        <f t="shared" si="4"/>
        <v>5</v>
      </c>
      <c r="Z109" s="2">
        <f t="shared" si="5"/>
        <v>6</v>
      </c>
      <c r="AA109">
        <f t="shared" si="7"/>
        <v>178</v>
      </c>
    </row>
    <row r="110" spans="1:27" ht="15.7" customHeight="1" x14ac:dyDescent="0.4">
      <c r="A110" s="2" t="s">
        <v>758</v>
      </c>
      <c r="B110" s="7" t="s">
        <v>757</v>
      </c>
      <c r="C110" s="2" t="s">
        <v>758</v>
      </c>
      <c r="D110" s="2" t="s">
        <v>105</v>
      </c>
      <c r="E110" s="2" t="s">
        <v>1025</v>
      </c>
      <c r="F110" s="2" t="s">
        <v>1027</v>
      </c>
      <c r="G110" s="2" t="s">
        <v>1029</v>
      </c>
      <c r="H110" s="2" t="s">
        <v>1030</v>
      </c>
      <c r="I110" s="7" t="s">
        <v>844</v>
      </c>
      <c r="J110" s="2">
        <v>40</v>
      </c>
      <c r="K110" s="2">
        <v>15</v>
      </c>
      <c r="L110" s="2">
        <v>15</v>
      </c>
      <c r="M110" s="2">
        <f t="shared" si="0"/>
        <v>70</v>
      </c>
      <c r="N110" s="2">
        <v>0</v>
      </c>
      <c r="O110" s="7" t="s">
        <v>79</v>
      </c>
      <c r="P110" s="7" t="s">
        <v>79</v>
      </c>
      <c r="Q110" s="7" t="s">
        <v>79</v>
      </c>
      <c r="R110" s="7" t="s">
        <v>79</v>
      </c>
      <c r="S110" t="s">
        <v>113</v>
      </c>
      <c r="T110" s="7" t="str" cm="1">
        <f t="array" ref="T110">IF(ISNUMBER(MATCH(TRIM(A110)&amp;"", _xlfn._xlws.FILTER(TRIM(Project_Scores!$D$2:$D$300)&amp;"", Project_Scores!$I$2:$I$300=TRUE, ""), 0)), "حاضر", "غائب")</f>
        <v>غائب</v>
      </c>
      <c r="U110" s="2" t="str">
        <f t="shared" si="1"/>
        <v>4 من 6</v>
      </c>
      <c r="V110" s="21">
        <f t="shared" si="2"/>
        <v>0.66666666666666663</v>
      </c>
      <c r="W110" s="2">
        <f t="shared" si="3"/>
        <v>70</v>
      </c>
      <c r="X110" s="2">
        <v>110</v>
      </c>
      <c r="Y110" s="2">
        <f t="shared" si="4"/>
        <v>4</v>
      </c>
      <c r="Z110" s="2">
        <f t="shared" si="5"/>
        <v>6</v>
      </c>
      <c r="AA110">
        <f t="shared" si="7"/>
        <v>114</v>
      </c>
    </row>
    <row r="111" spans="1:27" ht="15.7" customHeight="1" x14ac:dyDescent="0.4">
      <c r="A111" s="2" t="s">
        <v>494</v>
      </c>
      <c r="B111" s="7" t="s">
        <v>1031</v>
      </c>
      <c r="C111" s="2" t="s">
        <v>494</v>
      </c>
      <c r="D111" s="2" t="s">
        <v>39</v>
      </c>
      <c r="E111" s="2" t="s">
        <v>1032</v>
      </c>
      <c r="F111" s="2" t="s">
        <v>1033</v>
      </c>
      <c r="G111" s="2" t="s">
        <v>1034</v>
      </c>
      <c r="H111" s="2" t="s">
        <v>1035</v>
      </c>
      <c r="I111" s="7" t="s">
        <v>150</v>
      </c>
      <c r="J111" s="2">
        <v>48</v>
      </c>
      <c r="K111" s="2">
        <v>38</v>
      </c>
      <c r="L111" s="2">
        <v>35</v>
      </c>
      <c r="M111" s="2">
        <f t="shared" si="0"/>
        <v>121</v>
      </c>
      <c r="N111" s="2">
        <v>6</v>
      </c>
      <c r="O111" s="7" t="s">
        <v>79</v>
      </c>
      <c r="P111" s="7" t="s">
        <v>79</v>
      </c>
      <c r="Q111" s="7" t="s">
        <v>79</v>
      </c>
      <c r="R111" s="7" t="s">
        <v>79</v>
      </c>
      <c r="S111" t="s">
        <v>79</v>
      </c>
      <c r="T111" s="7" t="str" cm="1">
        <f t="array" ref="T111">IF(ISNUMBER(MATCH(TRIM(A111)&amp;"", _xlfn._xlws.FILTER(TRIM(Project_Scores!$D$2:$D$300)&amp;"", Project_Scores!$I$2:$I$300=TRUE, ""), 0)), "حاضر", "غائب")</f>
        <v>غائب</v>
      </c>
      <c r="U111" s="2" t="str">
        <f t="shared" si="1"/>
        <v>5 من 6</v>
      </c>
      <c r="V111" s="21">
        <f t="shared" si="2"/>
        <v>0.83333333333333337</v>
      </c>
      <c r="W111" s="2">
        <f t="shared" si="3"/>
        <v>127</v>
      </c>
      <c r="X111" s="2">
        <v>167</v>
      </c>
      <c r="Y111" s="2">
        <f t="shared" si="4"/>
        <v>5</v>
      </c>
      <c r="Z111" s="2">
        <f t="shared" si="5"/>
        <v>6</v>
      </c>
      <c r="AA111">
        <f t="shared" si="7"/>
        <v>172</v>
      </c>
    </row>
    <row r="112" spans="1:27" ht="15.7" customHeight="1" x14ac:dyDescent="0.4">
      <c r="A112" s="2" t="s">
        <v>359</v>
      </c>
      <c r="B112" s="7" t="s">
        <v>1036</v>
      </c>
      <c r="C112" s="2" t="s">
        <v>359</v>
      </c>
      <c r="D112" s="2" t="s">
        <v>137</v>
      </c>
      <c r="E112" s="2" t="s">
        <v>138</v>
      </c>
      <c r="F112" s="2" t="s">
        <v>1013</v>
      </c>
      <c r="G112" s="2" t="s">
        <v>1037</v>
      </c>
      <c r="H112" s="2" t="s">
        <v>1038</v>
      </c>
      <c r="I112" s="7" t="s">
        <v>233</v>
      </c>
      <c r="J112" s="2">
        <v>51</v>
      </c>
      <c r="K112" s="2">
        <v>30</v>
      </c>
      <c r="L112" s="2">
        <v>17</v>
      </c>
      <c r="M112" s="2">
        <f t="shared" si="0"/>
        <v>98</v>
      </c>
      <c r="N112" s="2">
        <v>6</v>
      </c>
      <c r="O112" s="7" t="s">
        <v>79</v>
      </c>
      <c r="P112" s="7" t="s">
        <v>79</v>
      </c>
      <c r="Q112" s="7" t="s">
        <v>79</v>
      </c>
      <c r="R112" s="7" t="s">
        <v>79</v>
      </c>
      <c r="S112" t="s">
        <v>79</v>
      </c>
      <c r="T112" s="7" t="str" cm="1">
        <f t="array" ref="T112">IF(ISNUMBER(MATCH(TRIM(A112)&amp;"", _xlfn._xlws.FILTER(TRIM(Project_Scores!$D$2:$D$300)&amp;"", Project_Scores!$I$2:$I$300=TRUE, ""), 0)), "حاضر", "غائب")</f>
        <v>غائب</v>
      </c>
      <c r="U112" s="2" t="str">
        <f t="shared" si="1"/>
        <v>5 من 6</v>
      </c>
      <c r="V112" s="21">
        <f t="shared" si="2"/>
        <v>0.83333333333333337</v>
      </c>
      <c r="W112" s="2">
        <f t="shared" si="3"/>
        <v>104</v>
      </c>
      <c r="X112" s="2">
        <v>144</v>
      </c>
      <c r="Y112" s="2">
        <f t="shared" si="4"/>
        <v>5</v>
      </c>
      <c r="Z112" s="2">
        <f t="shared" si="5"/>
        <v>6</v>
      </c>
      <c r="AA112">
        <f t="shared" si="7"/>
        <v>149</v>
      </c>
    </row>
    <row r="113" spans="1:27" ht="15.7" customHeight="1" x14ac:dyDescent="0.4">
      <c r="A113" s="2" t="s">
        <v>230</v>
      </c>
      <c r="B113" s="7" t="s">
        <v>1041</v>
      </c>
      <c r="C113" s="2" t="s">
        <v>230</v>
      </c>
      <c r="D113" s="2" t="s">
        <v>39</v>
      </c>
      <c r="E113" s="2" t="s">
        <v>1042</v>
      </c>
      <c r="F113" s="2" t="s">
        <v>497</v>
      </c>
      <c r="G113" s="2" t="s">
        <v>1043</v>
      </c>
      <c r="H113" s="2" t="s">
        <v>495</v>
      </c>
      <c r="I113" s="7" t="s">
        <v>430</v>
      </c>
      <c r="J113" s="2">
        <v>40</v>
      </c>
      <c r="K113" s="2">
        <v>25</v>
      </c>
      <c r="L113" s="2">
        <v>15</v>
      </c>
      <c r="M113" s="2">
        <f t="shared" si="0"/>
        <v>80</v>
      </c>
      <c r="N113" s="2">
        <v>2</v>
      </c>
      <c r="O113" s="7" t="s">
        <v>113</v>
      </c>
      <c r="P113" s="7" t="s">
        <v>79</v>
      </c>
      <c r="Q113" s="7" t="s">
        <v>79</v>
      </c>
      <c r="R113" s="7" t="s">
        <v>79</v>
      </c>
      <c r="S113" t="s">
        <v>79</v>
      </c>
      <c r="T113" s="7" t="str" cm="1">
        <f t="array" ref="T113">IF(ISNUMBER(MATCH(TRIM(A113)&amp;"", _xlfn._xlws.FILTER(TRIM(Project_Scores!$D$2:$D$300)&amp;"", Project_Scores!$I$2:$I$300=TRUE, ""), 0)), "حاضر", "غائب")</f>
        <v>غائب</v>
      </c>
      <c r="U113" s="2" t="str">
        <f t="shared" si="1"/>
        <v>4 من 6</v>
      </c>
      <c r="V113" s="21">
        <f t="shared" si="2"/>
        <v>0.66666666666666663</v>
      </c>
      <c r="W113" s="2">
        <f t="shared" si="3"/>
        <v>82</v>
      </c>
      <c r="X113" s="2">
        <v>112</v>
      </c>
      <c r="Y113" s="2">
        <f t="shared" si="4"/>
        <v>4</v>
      </c>
      <c r="Z113" s="2">
        <f t="shared" si="5"/>
        <v>6</v>
      </c>
      <c r="AA113">
        <f t="shared" si="7"/>
        <v>116</v>
      </c>
    </row>
    <row r="114" spans="1:27" ht="15.7" customHeight="1" x14ac:dyDescent="0.4">
      <c r="A114" s="2" t="s">
        <v>1044</v>
      </c>
      <c r="B114" s="7" t="s">
        <v>1045</v>
      </c>
      <c r="C114" s="2" t="s">
        <v>1044</v>
      </c>
      <c r="D114" s="2" t="s">
        <v>39</v>
      </c>
      <c r="E114" s="2" t="s">
        <v>558</v>
      </c>
      <c r="F114" s="2" t="s">
        <v>1046</v>
      </c>
      <c r="G114" s="2" t="s">
        <v>1048</v>
      </c>
      <c r="H114" s="2" t="s">
        <v>1050</v>
      </c>
      <c r="I114" s="7" t="s">
        <v>233</v>
      </c>
      <c r="J114" s="2">
        <v>0</v>
      </c>
      <c r="K114" s="2">
        <v>0</v>
      </c>
      <c r="L114" s="2">
        <v>0</v>
      </c>
      <c r="M114" s="2">
        <f t="shared" si="0"/>
        <v>0</v>
      </c>
      <c r="N114" s="2">
        <v>5</v>
      </c>
      <c r="O114" s="7" t="s">
        <v>79</v>
      </c>
      <c r="P114" s="7" t="s">
        <v>113</v>
      </c>
      <c r="Q114" s="7" t="s">
        <v>113</v>
      </c>
      <c r="R114" s="7" t="s">
        <v>113</v>
      </c>
      <c r="S114" t="s">
        <v>113</v>
      </c>
      <c r="T114" s="7" t="str" cm="1">
        <f t="array" ref="T114">IF(ISNUMBER(MATCH(TRIM(A114)&amp;"", _xlfn._xlws.FILTER(TRIM(Project_Scores!$D$2:$D$300)&amp;"", Project_Scores!$I$2:$I$300=TRUE, ""), 0)), "حاضر", "غائب")</f>
        <v>غائب</v>
      </c>
      <c r="U114" s="2" t="str">
        <f t="shared" si="1"/>
        <v>1 من 6</v>
      </c>
      <c r="V114" s="21">
        <f t="shared" si="2"/>
        <v>0.16666666666666666</v>
      </c>
      <c r="W114" s="2">
        <f t="shared" si="3"/>
        <v>5</v>
      </c>
      <c r="X114" s="2">
        <v>15</v>
      </c>
      <c r="Y114" s="2">
        <f t="shared" si="4"/>
        <v>1</v>
      </c>
      <c r="Z114" s="2">
        <f t="shared" si="5"/>
        <v>6</v>
      </c>
      <c r="AA114">
        <f t="shared" si="7"/>
        <v>16</v>
      </c>
    </row>
    <row r="115" spans="1:27" ht="15.7" customHeight="1" x14ac:dyDescent="0.4">
      <c r="A115" s="2" t="s">
        <v>1052</v>
      </c>
      <c r="B115" s="7" t="s">
        <v>1053</v>
      </c>
      <c r="C115" s="2" t="s">
        <v>1052</v>
      </c>
      <c r="D115" s="2" t="s">
        <v>105</v>
      </c>
      <c r="E115" s="2" t="s">
        <v>1055</v>
      </c>
      <c r="F115" s="2" t="s">
        <v>1056</v>
      </c>
      <c r="G115" s="2" t="s">
        <v>1057</v>
      </c>
      <c r="H115" s="2" t="s">
        <v>1058</v>
      </c>
      <c r="I115" s="7" t="s">
        <v>430</v>
      </c>
      <c r="J115" s="2">
        <v>0</v>
      </c>
      <c r="K115" s="2">
        <v>0</v>
      </c>
      <c r="L115" s="2">
        <v>0</v>
      </c>
      <c r="M115" s="2">
        <f t="shared" si="0"/>
        <v>0</v>
      </c>
      <c r="N115" s="2">
        <v>0</v>
      </c>
      <c r="O115" s="7" t="s">
        <v>113</v>
      </c>
      <c r="P115" s="7" t="s">
        <v>79</v>
      </c>
      <c r="Q115" s="7" t="s">
        <v>113</v>
      </c>
      <c r="R115" s="7" t="s">
        <v>113</v>
      </c>
      <c r="S115" t="s">
        <v>113</v>
      </c>
      <c r="T115" s="7" t="str" cm="1">
        <f t="array" ref="T115">IF(ISNUMBER(MATCH(TRIM(A115)&amp;"", _xlfn._xlws.FILTER(TRIM(Project_Scores!$D$2:$D$300)&amp;"", Project_Scores!$I$2:$I$300=TRUE, ""), 0)), "حاضر", "غائب")</f>
        <v>غائب</v>
      </c>
      <c r="U115" s="2" t="str">
        <f t="shared" si="1"/>
        <v>1 من 6</v>
      </c>
      <c r="V115" s="21">
        <f t="shared" si="2"/>
        <v>0.16666666666666666</v>
      </c>
      <c r="W115" s="2">
        <f t="shared" si="3"/>
        <v>0</v>
      </c>
      <c r="X115" s="2">
        <v>10</v>
      </c>
      <c r="Y115" s="2">
        <f t="shared" si="4"/>
        <v>1</v>
      </c>
      <c r="Z115" s="2">
        <f t="shared" si="5"/>
        <v>6</v>
      </c>
      <c r="AA115">
        <f t="shared" si="7"/>
        <v>11</v>
      </c>
    </row>
    <row r="116" spans="1:27" ht="15.7" customHeight="1" x14ac:dyDescent="0.4">
      <c r="A116" s="2" t="s">
        <v>794</v>
      </c>
      <c r="B116" s="7" t="s">
        <v>1063</v>
      </c>
      <c r="C116" s="2" t="s">
        <v>794</v>
      </c>
      <c r="D116" s="2" t="s">
        <v>105</v>
      </c>
      <c r="E116" s="2" t="s">
        <v>1064</v>
      </c>
      <c r="F116" s="2" t="s">
        <v>1065</v>
      </c>
      <c r="G116" s="2" t="s">
        <v>1066</v>
      </c>
      <c r="H116" s="2" t="s">
        <v>1067</v>
      </c>
      <c r="I116" s="7" t="s">
        <v>160</v>
      </c>
      <c r="J116" s="2">
        <v>52</v>
      </c>
      <c r="K116" s="2">
        <v>40</v>
      </c>
      <c r="L116" s="2">
        <v>0</v>
      </c>
      <c r="M116" s="2">
        <f t="shared" si="0"/>
        <v>92</v>
      </c>
      <c r="N116" s="2">
        <v>2</v>
      </c>
      <c r="O116" s="7" t="s">
        <v>79</v>
      </c>
      <c r="P116" s="7" t="s">
        <v>79</v>
      </c>
      <c r="Q116" s="7" t="s">
        <v>79</v>
      </c>
      <c r="R116" s="7" t="s">
        <v>113</v>
      </c>
      <c r="S116" t="s">
        <v>79</v>
      </c>
      <c r="T116" s="7" t="str" cm="1">
        <f t="array" ref="T116">IF(ISNUMBER(MATCH(TRIM(A116)&amp;"", _xlfn._xlws.FILTER(TRIM(Project_Scores!$D$2:$D$300)&amp;"", Project_Scores!$I$2:$I$300=TRUE, ""), 0)), "حاضر", "غائب")</f>
        <v>غائب</v>
      </c>
      <c r="U116" s="2" t="str">
        <f t="shared" si="1"/>
        <v>4 من 6</v>
      </c>
      <c r="V116" s="21">
        <f t="shared" si="2"/>
        <v>0.66666666666666663</v>
      </c>
      <c r="W116" s="2">
        <f t="shared" si="3"/>
        <v>94</v>
      </c>
      <c r="X116" s="2">
        <v>124</v>
      </c>
      <c r="Y116" s="2">
        <f t="shared" si="4"/>
        <v>4</v>
      </c>
      <c r="Z116" s="2">
        <f t="shared" si="5"/>
        <v>6</v>
      </c>
      <c r="AA116">
        <f t="shared" si="7"/>
        <v>128</v>
      </c>
    </row>
    <row r="117" spans="1:27" ht="15.7" customHeight="1" x14ac:dyDescent="0.4">
      <c r="A117" s="2" t="s">
        <v>1070</v>
      </c>
      <c r="B117" s="7" t="s">
        <v>1071</v>
      </c>
      <c r="C117" s="2" t="s">
        <v>1070</v>
      </c>
      <c r="D117" s="2" t="s">
        <v>39</v>
      </c>
      <c r="E117" s="2" t="s">
        <v>1072</v>
      </c>
      <c r="F117" s="2" t="s">
        <v>1073</v>
      </c>
      <c r="G117" s="2" t="s">
        <v>1074</v>
      </c>
      <c r="H117" s="2" t="s">
        <v>1075</v>
      </c>
      <c r="I117" s="7" t="s">
        <v>346</v>
      </c>
      <c r="J117" s="2">
        <v>0</v>
      </c>
      <c r="K117" s="2">
        <v>0</v>
      </c>
      <c r="L117" s="2">
        <v>0</v>
      </c>
      <c r="M117" s="2">
        <f t="shared" si="0"/>
        <v>0</v>
      </c>
      <c r="N117" s="2">
        <v>0</v>
      </c>
      <c r="O117" s="7" t="s">
        <v>113</v>
      </c>
      <c r="P117" s="7" t="s">
        <v>113</v>
      </c>
      <c r="Q117" s="7" t="s">
        <v>113</v>
      </c>
      <c r="R117" s="7" t="s">
        <v>113</v>
      </c>
      <c r="S117" t="s">
        <v>113</v>
      </c>
      <c r="T117" s="7" t="str" cm="1">
        <f t="array" ref="T117">IF(ISNUMBER(MATCH(TRIM(A117)&amp;"", _xlfn._xlws.FILTER(TRIM(Project_Scores!$D$2:$D$300)&amp;"", Project_Scores!$I$2:$I$300=TRUE, ""), 0)), "حاضر", "غائب")</f>
        <v>غائب</v>
      </c>
      <c r="U117" s="2" t="str">
        <f t="shared" si="1"/>
        <v>0 من 6</v>
      </c>
      <c r="V117" s="21">
        <f t="shared" si="2"/>
        <v>0</v>
      </c>
      <c r="W117" s="2">
        <f t="shared" si="3"/>
        <v>0</v>
      </c>
      <c r="X117" s="2">
        <v>0</v>
      </c>
      <c r="Y117" s="2">
        <f t="shared" si="4"/>
        <v>0</v>
      </c>
      <c r="Z117" s="2">
        <f t="shared" si="5"/>
        <v>6</v>
      </c>
      <c r="AA117">
        <f t="shared" si="7"/>
        <v>0</v>
      </c>
    </row>
    <row r="118" spans="1:27" ht="15.7" customHeight="1" x14ac:dyDescent="0.4">
      <c r="A118" s="2" t="s">
        <v>261</v>
      </c>
      <c r="B118" s="7" t="s">
        <v>260</v>
      </c>
      <c r="C118" s="2" t="s">
        <v>261</v>
      </c>
      <c r="D118" s="2" t="s">
        <v>39</v>
      </c>
      <c r="E118" s="2" t="s">
        <v>1076</v>
      </c>
      <c r="F118" s="2" t="s">
        <v>736</v>
      </c>
      <c r="G118" s="2" t="s">
        <v>1077</v>
      </c>
      <c r="H118" s="2" t="s">
        <v>735</v>
      </c>
      <c r="I118" s="7" t="s">
        <v>844</v>
      </c>
      <c r="J118" s="2">
        <v>53</v>
      </c>
      <c r="K118" s="2">
        <v>29</v>
      </c>
      <c r="L118" s="2">
        <v>33</v>
      </c>
      <c r="M118" s="2">
        <f t="shared" si="0"/>
        <v>115</v>
      </c>
      <c r="N118" s="2">
        <v>0</v>
      </c>
      <c r="O118" s="7" t="s">
        <v>79</v>
      </c>
      <c r="P118" s="7" t="s">
        <v>79</v>
      </c>
      <c r="Q118" s="7" t="s">
        <v>79</v>
      </c>
      <c r="R118" s="7" t="s">
        <v>79</v>
      </c>
      <c r="S118" t="s">
        <v>79</v>
      </c>
      <c r="T118" s="7" t="str" cm="1">
        <f t="array" ref="T118">IF(ISNUMBER(MATCH(TRIM(A118)&amp;"", _xlfn._xlws.FILTER(TRIM(Project_Scores!$D$2:$D$300)&amp;"", Project_Scores!$I$2:$I$300=TRUE, ""), 0)), "حاضر", "غائب")</f>
        <v>غائب</v>
      </c>
      <c r="U118" s="2" t="str">
        <f t="shared" si="1"/>
        <v>5 من 6</v>
      </c>
      <c r="V118" s="21">
        <f t="shared" si="2"/>
        <v>0.83333333333333337</v>
      </c>
      <c r="W118" s="2">
        <f t="shared" si="3"/>
        <v>115</v>
      </c>
      <c r="X118" s="2">
        <v>155</v>
      </c>
      <c r="Y118" s="2">
        <f t="shared" si="4"/>
        <v>5</v>
      </c>
      <c r="Z118" s="2">
        <f t="shared" si="5"/>
        <v>6</v>
      </c>
      <c r="AA118">
        <f t="shared" si="7"/>
        <v>160</v>
      </c>
    </row>
    <row r="119" spans="1:27" ht="15.7" customHeight="1" x14ac:dyDescent="0.4">
      <c r="A119" s="2" t="s">
        <v>1080</v>
      </c>
      <c r="B119" s="7" t="s">
        <v>1081</v>
      </c>
      <c r="C119" s="2" t="s">
        <v>1080</v>
      </c>
      <c r="D119" s="2" t="s">
        <v>137</v>
      </c>
      <c r="E119" s="2" t="s">
        <v>558</v>
      </c>
      <c r="F119" s="2" t="s">
        <v>1082</v>
      </c>
      <c r="G119" s="2" t="s">
        <v>1083</v>
      </c>
      <c r="H119" s="2" t="s">
        <v>1084</v>
      </c>
      <c r="I119" s="7" t="s">
        <v>844</v>
      </c>
      <c r="J119" s="2">
        <v>0</v>
      </c>
      <c r="K119" s="2">
        <v>0</v>
      </c>
      <c r="L119" s="2">
        <v>0</v>
      </c>
      <c r="M119" s="2">
        <f t="shared" si="0"/>
        <v>0</v>
      </c>
      <c r="N119" s="2">
        <v>0</v>
      </c>
      <c r="O119" s="7" t="s">
        <v>113</v>
      </c>
      <c r="P119" s="7" t="s">
        <v>113</v>
      </c>
      <c r="Q119" s="7" t="s">
        <v>113</v>
      </c>
      <c r="R119" s="7" t="s">
        <v>113</v>
      </c>
      <c r="S119" t="s">
        <v>113</v>
      </c>
      <c r="T119" s="7" t="str" cm="1">
        <f t="array" ref="T119">IF(ISNUMBER(MATCH(TRIM(A119)&amp;"", _xlfn._xlws.FILTER(TRIM(Project_Scores!$D$2:$D$300)&amp;"", Project_Scores!$I$2:$I$300=TRUE, ""), 0)), "حاضر", "غائب")</f>
        <v>غائب</v>
      </c>
      <c r="U119" s="2" t="str">
        <f t="shared" si="1"/>
        <v>0 من 6</v>
      </c>
      <c r="V119" s="21">
        <f t="shared" si="2"/>
        <v>0</v>
      </c>
      <c r="W119" s="2">
        <f t="shared" si="3"/>
        <v>0</v>
      </c>
      <c r="X119" s="2">
        <v>0</v>
      </c>
      <c r="Y119" s="2">
        <f t="shared" si="4"/>
        <v>0</v>
      </c>
      <c r="Z119" s="2">
        <f t="shared" si="5"/>
        <v>6</v>
      </c>
      <c r="AA119">
        <f t="shared" si="7"/>
        <v>0</v>
      </c>
    </row>
    <row r="120" spans="1:27" ht="15.7" customHeight="1" x14ac:dyDescent="0.4">
      <c r="A120" s="2" t="s">
        <v>593</v>
      </c>
      <c r="B120" s="7" t="s">
        <v>1085</v>
      </c>
      <c r="C120" s="2" t="s">
        <v>593</v>
      </c>
      <c r="D120" s="2" t="s">
        <v>137</v>
      </c>
      <c r="E120" s="2" t="s">
        <v>417</v>
      </c>
      <c r="F120" s="2" t="s">
        <v>1086</v>
      </c>
      <c r="G120" s="2" t="s">
        <v>1087</v>
      </c>
      <c r="H120" s="2" t="s">
        <v>1088</v>
      </c>
      <c r="I120" s="7" t="s">
        <v>233</v>
      </c>
      <c r="J120" s="2">
        <v>34</v>
      </c>
      <c r="K120" s="2">
        <v>21</v>
      </c>
      <c r="L120" s="2">
        <v>20</v>
      </c>
      <c r="M120" s="2">
        <f t="shared" si="0"/>
        <v>75</v>
      </c>
      <c r="N120" s="2">
        <v>8</v>
      </c>
      <c r="O120" s="7" t="s">
        <v>79</v>
      </c>
      <c r="P120" s="7" t="s">
        <v>79</v>
      </c>
      <c r="Q120" s="7" t="s">
        <v>79</v>
      </c>
      <c r="R120" s="7" t="s">
        <v>113</v>
      </c>
      <c r="S120" t="s">
        <v>79</v>
      </c>
      <c r="T120" s="7" t="str" cm="1">
        <f t="array" ref="T120">IF(ISNUMBER(MATCH(TRIM(A120)&amp;"", _xlfn._xlws.FILTER(TRIM(Project_Scores!$D$2:$D$300)&amp;"", Project_Scores!$I$2:$I$300=TRUE, ""), 0)), "حاضر", "غائب")</f>
        <v>غائب</v>
      </c>
      <c r="U120" s="2" t="str">
        <f t="shared" si="1"/>
        <v>4 من 6</v>
      </c>
      <c r="V120" s="21">
        <f t="shared" si="2"/>
        <v>0.66666666666666663</v>
      </c>
      <c r="W120" s="2">
        <f t="shared" si="3"/>
        <v>83</v>
      </c>
      <c r="X120" s="2">
        <v>113</v>
      </c>
      <c r="Y120" s="2">
        <f t="shared" si="4"/>
        <v>4</v>
      </c>
      <c r="Z120" s="2">
        <f t="shared" si="5"/>
        <v>6</v>
      </c>
      <c r="AA120">
        <f t="shared" si="7"/>
        <v>117</v>
      </c>
    </row>
    <row r="121" spans="1:27" ht="15.7" customHeight="1" x14ac:dyDescent="0.4">
      <c r="A121" s="2" t="s">
        <v>1089</v>
      </c>
      <c r="B121" s="7" t="s">
        <v>1090</v>
      </c>
      <c r="C121" s="2" t="s">
        <v>1089</v>
      </c>
      <c r="D121" s="2" t="s">
        <v>137</v>
      </c>
      <c r="E121" s="2" t="s">
        <v>417</v>
      </c>
      <c r="F121" s="2" t="s">
        <v>1091</v>
      </c>
      <c r="G121" s="2" t="s">
        <v>1092</v>
      </c>
      <c r="H121" s="2" t="s">
        <v>1093</v>
      </c>
      <c r="I121" s="7" t="s">
        <v>233</v>
      </c>
      <c r="J121" s="2">
        <v>0</v>
      </c>
      <c r="K121" s="2">
        <v>0</v>
      </c>
      <c r="L121" s="2">
        <v>0</v>
      </c>
      <c r="M121" s="2">
        <f t="shared" si="0"/>
        <v>0</v>
      </c>
      <c r="N121" s="2">
        <v>5</v>
      </c>
      <c r="O121" s="7" t="s">
        <v>113</v>
      </c>
      <c r="P121" s="7" t="s">
        <v>113</v>
      </c>
      <c r="Q121" s="7" t="s">
        <v>113</v>
      </c>
      <c r="R121" s="7" t="s">
        <v>113</v>
      </c>
      <c r="S121" t="s">
        <v>113</v>
      </c>
      <c r="T121" s="7" t="str" cm="1">
        <f t="array" ref="T121">IF(ISNUMBER(MATCH(TRIM(A121)&amp;"", _xlfn._xlws.FILTER(TRIM(Project_Scores!$D$2:$D$300)&amp;"", Project_Scores!$I$2:$I$300=TRUE, ""), 0)), "حاضر", "غائب")</f>
        <v>غائب</v>
      </c>
      <c r="U121" s="2" t="str">
        <f t="shared" si="1"/>
        <v>0 من 6</v>
      </c>
      <c r="V121" s="21">
        <f t="shared" si="2"/>
        <v>0</v>
      </c>
      <c r="W121" s="2">
        <f t="shared" si="3"/>
        <v>5</v>
      </c>
      <c r="X121" s="2">
        <v>5</v>
      </c>
      <c r="Y121" s="2">
        <f t="shared" si="4"/>
        <v>0</v>
      </c>
      <c r="Z121" s="2">
        <f t="shared" si="5"/>
        <v>6</v>
      </c>
      <c r="AA121">
        <f t="shared" si="7"/>
        <v>5</v>
      </c>
    </row>
    <row r="122" spans="1:27" ht="15.7" customHeight="1" x14ac:dyDescent="0.4">
      <c r="A122" s="2" t="s">
        <v>1094</v>
      </c>
      <c r="B122" s="7" t="s">
        <v>1095</v>
      </c>
      <c r="C122" s="2" t="s">
        <v>1094</v>
      </c>
      <c r="D122" s="2" t="s">
        <v>137</v>
      </c>
      <c r="E122" s="2" t="s">
        <v>417</v>
      </c>
      <c r="F122" s="2" t="s">
        <v>1096</v>
      </c>
      <c r="G122" s="2" t="s">
        <v>1097</v>
      </c>
      <c r="H122" s="2" t="s">
        <v>1098</v>
      </c>
      <c r="I122" s="7" t="s">
        <v>430</v>
      </c>
      <c r="J122" s="2">
        <v>0</v>
      </c>
      <c r="K122" s="2">
        <v>0</v>
      </c>
      <c r="L122" s="2">
        <v>0</v>
      </c>
      <c r="M122" s="2">
        <f t="shared" si="0"/>
        <v>0</v>
      </c>
      <c r="N122" s="2">
        <v>0</v>
      </c>
      <c r="O122" s="7" t="s">
        <v>113</v>
      </c>
      <c r="P122" s="7" t="s">
        <v>113</v>
      </c>
      <c r="Q122" s="7" t="s">
        <v>113</v>
      </c>
      <c r="R122" s="7" t="s">
        <v>113</v>
      </c>
      <c r="S122" t="s">
        <v>113</v>
      </c>
      <c r="T122" s="7" t="str" cm="1">
        <f t="array" ref="T122">IF(ISNUMBER(MATCH(TRIM(A122)&amp;"", _xlfn._xlws.FILTER(TRIM(Project_Scores!$D$2:$D$300)&amp;"", Project_Scores!$I$2:$I$300=TRUE, ""), 0)), "حاضر", "غائب")</f>
        <v>غائب</v>
      </c>
      <c r="U122" s="2" t="str">
        <f t="shared" si="1"/>
        <v>0 من 6</v>
      </c>
      <c r="V122" s="21">
        <f t="shared" si="2"/>
        <v>0</v>
      </c>
      <c r="W122" s="2">
        <f t="shared" si="3"/>
        <v>0</v>
      </c>
      <c r="X122" s="2">
        <v>0</v>
      </c>
      <c r="Y122" s="2">
        <f t="shared" si="4"/>
        <v>0</v>
      </c>
      <c r="Z122" s="2">
        <f t="shared" si="5"/>
        <v>6</v>
      </c>
      <c r="AA122">
        <f t="shared" si="7"/>
        <v>0</v>
      </c>
    </row>
    <row r="123" spans="1:27" ht="15.7" customHeight="1" x14ac:dyDescent="0.4">
      <c r="A123" s="2" t="s">
        <v>623</v>
      </c>
      <c r="B123" s="7" t="s">
        <v>1099</v>
      </c>
      <c r="C123" s="2" t="s">
        <v>623</v>
      </c>
      <c r="D123" s="2" t="s">
        <v>105</v>
      </c>
      <c r="E123" s="2" t="s">
        <v>1100</v>
      </c>
      <c r="F123" s="2" t="s">
        <v>1101</v>
      </c>
      <c r="G123" s="2" t="s">
        <v>1102</v>
      </c>
      <c r="H123" s="2" t="s">
        <v>1103</v>
      </c>
      <c r="I123" s="2" t="s">
        <v>553</v>
      </c>
      <c r="J123" s="2">
        <v>47.5</v>
      </c>
      <c r="K123" s="2">
        <v>43</v>
      </c>
      <c r="L123" s="2">
        <v>36</v>
      </c>
      <c r="M123" s="2">
        <f t="shared" si="0"/>
        <v>126.5</v>
      </c>
      <c r="N123" s="2">
        <v>4</v>
      </c>
      <c r="O123" s="7" t="s">
        <v>79</v>
      </c>
      <c r="P123" s="7" t="s">
        <v>79</v>
      </c>
      <c r="Q123" s="7" t="s">
        <v>79</v>
      </c>
      <c r="R123" s="7" t="s">
        <v>79</v>
      </c>
      <c r="S123" t="s">
        <v>79</v>
      </c>
      <c r="T123" s="7" t="str" cm="1">
        <f t="array" ref="T123">IF(ISNUMBER(MATCH(TRIM(A123)&amp;"", _xlfn._xlws.FILTER(TRIM(Project_Scores!$D$2:$D$300)&amp;"", Project_Scores!$I$2:$I$300=TRUE, ""), 0)), "حاضر", "غائب")</f>
        <v>غائب</v>
      </c>
      <c r="U123" s="2" t="str">
        <f t="shared" si="1"/>
        <v>5 من 6</v>
      </c>
      <c r="V123" s="21">
        <f t="shared" si="2"/>
        <v>0.83333333333333337</v>
      </c>
      <c r="W123" s="2">
        <f t="shared" si="3"/>
        <v>130.5</v>
      </c>
      <c r="X123" s="2">
        <v>170.5</v>
      </c>
      <c r="Y123" s="2">
        <f t="shared" si="4"/>
        <v>5</v>
      </c>
      <c r="Z123" s="2">
        <f t="shared" si="5"/>
        <v>6</v>
      </c>
      <c r="AA123">
        <f t="shared" si="7"/>
        <v>175.5</v>
      </c>
    </row>
    <row r="124" spans="1:27" ht="15.7" customHeight="1" x14ac:dyDescent="0.4">
      <c r="A124" s="2" t="s">
        <v>787</v>
      </c>
      <c r="B124" s="7" t="s">
        <v>1104</v>
      </c>
      <c r="C124" s="2" t="s">
        <v>787</v>
      </c>
      <c r="D124" s="2" t="s">
        <v>137</v>
      </c>
      <c r="E124" s="2" t="s">
        <v>417</v>
      </c>
      <c r="F124" s="2" t="s">
        <v>1105</v>
      </c>
      <c r="G124" s="2" t="s">
        <v>1106</v>
      </c>
      <c r="H124" s="2" t="s">
        <v>1107</v>
      </c>
      <c r="I124" s="7" t="s">
        <v>160</v>
      </c>
      <c r="J124" s="2">
        <v>39</v>
      </c>
      <c r="K124" s="2">
        <v>0</v>
      </c>
      <c r="L124" s="2">
        <v>36</v>
      </c>
      <c r="M124" s="2">
        <f t="shared" si="0"/>
        <v>75</v>
      </c>
      <c r="N124" s="2">
        <v>2</v>
      </c>
      <c r="O124" s="7" t="s">
        <v>79</v>
      </c>
      <c r="P124" s="7" t="s">
        <v>79</v>
      </c>
      <c r="Q124" s="7" t="s">
        <v>79</v>
      </c>
      <c r="R124" s="7" t="s">
        <v>79</v>
      </c>
      <c r="S124" t="s">
        <v>79</v>
      </c>
      <c r="T124" s="7" t="str" cm="1">
        <f t="array" ref="T124">IF(ISNUMBER(MATCH(TRIM(A124)&amp;"", _xlfn._xlws.FILTER(TRIM(Project_Scores!$D$2:$D$300)&amp;"", Project_Scores!$I$2:$I$300=TRUE, ""), 0)), "حاضر", "غائب")</f>
        <v>غائب</v>
      </c>
      <c r="U124" s="2" t="str">
        <f t="shared" si="1"/>
        <v>5 من 6</v>
      </c>
      <c r="V124" s="21">
        <f t="shared" si="2"/>
        <v>0.83333333333333337</v>
      </c>
      <c r="W124" s="2">
        <f t="shared" si="3"/>
        <v>77</v>
      </c>
      <c r="X124" s="2">
        <v>117</v>
      </c>
      <c r="Y124" s="2">
        <f t="shared" si="4"/>
        <v>5</v>
      </c>
      <c r="Z124" s="2">
        <f t="shared" si="5"/>
        <v>6</v>
      </c>
      <c r="AA124">
        <f t="shared" si="7"/>
        <v>122</v>
      </c>
    </row>
    <row r="125" spans="1:27" ht="15.7" customHeight="1" x14ac:dyDescent="0.4">
      <c r="A125" s="2" t="s">
        <v>645</v>
      </c>
      <c r="B125" s="7" t="s">
        <v>643</v>
      </c>
      <c r="C125" s="2" t="s">
        <v>645</v>
      </c>
      <c r="D125" s="2" t="s">
        <v>105</v>
      </c>
      <c r="E125" s="2" t="s">
        <v>1108</v>
      </c>
      <c r="F125" s="2" t="s">
        <v>1109</v>
      </c>
      <c r="G125" s="2" t="s">
        <v>1110</v>
      </c>
      <c r="H125" s="2" t="s">
        <v>1111</v>
      </c>
      <c r="I125" s="7" t="s">
        <v>199</v>
      </c>
      <c r="J125" s="2">
        <v>55</v>
      </c>
      <c r="K125" s="2">
        <v>44.5</v>
      </c>
      <c r="L125" s="2">
        <v>35</v>
      </c>
      <c r="M125" s="2">
        <f t="shared" si="0"/>
        <v>134.5</v>
      </c>
      <c r="N125" s="2">
        <v>5</v>
      </c>
      <c r="O125" s="7" t="s">
        <v>79</v>
      </c>
      <c r="P125" s="7" t="s">
        <v>79</v>
      </c>
      <c r="Q125" s="7" t="s">
        <v>79</v>
      </c>
      <c r="R125" s="7" t="s">
        <v>79</v>
      </c>
      <c r="S125" t="s">
        <v>79</v>
      </c>
      <c r="T125" s="7" t="str" cm="1">
        <f t="array" ref="T125">IF(ISNUMBER(MATCH(TRIM(A125)&amp;"", _xlfn._xlws.FILTER(TRIM(Project_Scores!$D$2:$D$300)&amp;"", Project_Scores!$I$2:$I$300=TRUE, ""), 0)), "حاضر", "غائب")</f>
        <v>غائب</v>
      </c>
      <c r="U125" s="2" t="str">
        <f t="shared" si="1"/>
        <v>5 من 6</v>
      </c>
      <c r="V125" s="21">
        <f t="shared" si="2"/>
        <v>0.83333333333333337</v>
      </c>
      <c r="W125" s="2">
        <f t="shared" si="3"/>
        <v>139.5</v>
      </c>
      <c r="X125" s="2">
        <v>179.5</v>
      </c>
      <c r="Y125" s="2">
        <f t="shared" si="4"/>
        <v>5</v>
      </c>
      <c r="Z125" s="2">
        <f t="shared" si="5"/>
        <v>6</v>
      </c>
      <c r="AA125">
        <f t="shared" si="7"/>
        <v>184.5</v>
      </c>
    </row>
    <row r="126" spans="1:27" ht="15.7" customHeight="1" x14ac:dyDescent="0.4">
      <c r="A126" s="2" t="s">
        <v>1112</v>
      </c>
      <c r="B126" s="7" t="s">
        <v>1113</v>
      </c>
      <c r="C126" s="2" t="s">
        <v>1112</v>
      </c>
      <c r="D126" s="2" t="s">
        <v>39</v>
      </c>
      <c r="E126" s="2" t="s">
        <v>1114</v>
      </c>
      <c r="F126" s="2" t="s">
        <v>1115</v>
      </c>
      <c r="G126" s="2" t="s">
        <v>1116</v>
      </c>
      <c r="H126" s="2" t="s">
        <v>1117</v>
      </c>
      <c r="I126" s="7" t="s">
        <v>430</v>
      </c>
      <c r="J126" s="2">
        <v>0</v>
      </c>
      <c r="K126" s="2">
        <v>0</v>
      </c>
      <c r="L126" s="2">
        <v>0</v>
      </c>
      <c r="M126" s="2">
        <f t="shared" si="0"/>
        <v>0</v>
      </c>
      <c r="N126" s="2">
        <v>0</v>
      </c>
      <c r="O126" s="7" t="s">
        <v>113</v>
      </c>
      <c r="P126" s="7" t="s">
        <v>79</v>
      </c>
      <c r="Q126" s="7" t="s">
        <v>113</v>
      </c>
      <c r="R126" s="7" t="s">
        <v>113</v>
      </c>
      <c r="S126" t="s">
        <v>113</v>
      </c>
      <c r="T126" s="7" t="str" cm="1">
        <f t="array" ref="T126">IF(ISNUMBER(MATCH(TRIM(A126)&amp;"", _xlfn._xlws.FILTER(TRIM(Project_Scores!$D$2:$D$300)&amp;"", Project_Scores!$I$2:$I$300=TRUE, ""), 0)), "حاضر", "غائب")</f>
        <v>غائب</v>
      </c>
      <c r="U126" s="2" t="str">
        <f t="shared" si="1"/>
        <v>1 من 6</v>
      </c>
      <c r="V126" s="21">
        <f t="shared" si="2"/>
        <v>0.16666666666666666</v>
      </c>
      <c r="W126" s="2">
        <f t="shared" si="3"/>
        <v>0</v>
      </c>
      <c r="X126" s="2">
        <v>10</v>
      </c>
      <c r="Y126" s="2">
        <f t="shared" si="4"/>
        <v>1</v>
      </c>
      <c r="Z126" s="2">
        <f t="shared" si="5"/>
        <v>6</v>
      </c>
      <c r="AA126">
        <f t="shared" si="7"/>
        <v>11</v>
      </c>
    </row>
    <row r="127" spans="1:27" ht="15.7" customHeight="1" x14ac:dyDescent="0.4">
      <c r="A127" s="2" t="s">
        <v>210</v>
      </c>
      <c r="B127" s="7" t="s">
        <v>209</v>
      </c>
      <c r="C127" s="2" t="s">
        <v>210</v>
      </c>
      <c r="D127" s="2" t="s">
        <v>137</v>
      </c>
      <c r="E127" s="2" t="s">
        <v>417</v>
      </c>
      <c r="F127" s="2" t="s">
        <v>442</v>
      </c>
      <c r="G127" s="2" t="s">
        <v>1118</v>
      </c>
      <c r="H127" s="2" t="s">
        <v>441</v>
      </c>
      <c r="I127" s="7" t="s">
        <v>122</v>
      </c>
      <c r="J127" s="2">
        <v>53</v>
      </c>
      <c r="K127" s="2">
        <v>45</v>
      </c>
      <c r="L127" s="2">
        <v>36</v>
      </c>
      <c r="M127" s="2">
        <f t="shared" si="0"/>
        <v>134</v>
      </c>
      <c r="N127" s="2">
        <v>0</v>
      </c>
      <c r="O127" s="7" t="s">
        <v>79</v>
      </c>
      <c r="P127" s="7" t="s">
        <v>79</v>
      </c>
      <c r="Q127" s="7" t="s">
        <v>79</v>
      </c>
      <c r="R127" s="7" t="s">
        <v>79</v>
      </c>
      <c r="S127" t="s">
        <v>79</v>
      </c>
      <c r="T127" s="7" t="str" cm="1">
        <f t="array" ref="T127">IF(ISNUMBER(MATCH(TRIM(A127)&amp;"", _xlfn._xlws.FILTER(TRIM(Project_Scores!$D$2:$D$300)&amp;"", Project_Scores!$I$2:$I$300=TRUE, ""), 0)), "حاضر", "غائب")</f>
        <v>غائب</v>
      </c>
      <c r="U127" s="2" t="str">
        <f t="shared" si="1"/>
        <v>5 من 6</v>
      </c>
      <c r="V127" s="21">
        <f t="shared" si="2"/>
        <v>0.83333333333333337</v>
      </c>
      <c r="W127" s="2">
        <f t="shared" si="3"/>
        <v>134</v>
      </c>
      <c r="X127" s="2">
        <v>174</v>
      </c>
      <c r="Y127" s="2">
        <f t="shared" si="4"/>
        <v>5</v>
      </c>
      <c r="Z127" s="2">
        <f t="shared" si="5"/>
        <v>6</v>
      </c>
      <c r="AA127">
        <f t="shared" si="7"/>
        <v>179</v>
      </c>
    </row>
    <row r="128" spans="1:27" ht="15.7" customHeight="1" x14ac:dyDescent="0.4">
      <c r="A128" s="2" t="s">
        <v>309</v>
      </c>
      <c r="B128" s="7" t="s">
        <v>308</v>
      </c>
      <c r="C128" s="2" t="s">
        <v>309</v>
      </c>
      <c r="D128" s="2" t="s">
        <v>39</v>
      </c>
      <c r="E128" s="2" t="s">
        <v>1121</v>
      </c>
      <c r="F128" s="2" t="s">
        <v>934</v>
      </c>
      <c r="G128" s="2" t="s">
        <v>1122</v>
      </c>
      <c r="H128" s="2" t="s">
        <v>933</v>
      </c>
      <c r="I128" s="7" t="s">
        <v>150</v>
      </c>
      <c r="J128" s="2">
        <v>52</v>
      </c>
      <c r="K128" s="2">
        <v>34</v>
      </c>
      <c r="L128" s="2">
        <v>35</v>
      </c>
      <c r="M128" s="2">
        <f t="shared" si="0"/>
        <v>121</v>
      </c>
      <c r="N128" s="2">
        <v>17</v>
      </c>
      <c r="O128" s="7" t="s">
        <v>79</v>
      </c>
      <c r="P128" s="7" t="s">
        <v>79</v>
      </c>
      <c r="Q128" s="7" t="s">
        <v>79</v>
      </c>
      <c r="R128" s="7" t="s">
        <v>113</v>
      </c>
      <c r="S128" t="s">
        <v>79</v>
      </c>
      <c r="T128" s="7" t="str" cm="1">
        <f t="array" ref="T128">IF(ISNUMBER(MATCH(TRIM(A128)&amp;"", _xlfn._xlws.FILTER(TRIM(Project_Scores!$D$2:$D$300)&amp;"", Project_Scores!$I$2:$I$300=TRUE, ""), 0)), "حاضر", "غائب")</f>
        <v>غائب</v>
      </c>
      <c r="U128" s="2" t="str">
        <f t="shared" si="1"/>
        <v>4 من 6</v>
      </c>
      <c r="V128" s="21">
        <f t="shared" si="2"/>
        <v>0.66666666666666663</v>
      </c>
      <c r="W128" s="2">
        <f t="shared" si="3"/>
        <v>138</v>
      </c>
      <c r="X128" s="2">
        <v>168</v>
      </c>
      <c r="Y128" s="2">
        <f t="shared" si="4"/>
        <v>4</v>
      </c>
      <c r="Z128" s="2">
        <f t="shared" si="5"/>
        <v>6</v>
      </c>
      <c r="AA128">
        <f t="shared" si="7"/>
        <v>172</v>
      </c>
    </row>
    <row r="129" spans="1:27" ht="15.7" customHeight="1" x14ac:dyDescent="0.4">
      <c r="A129" s="2" t="s">
        <v>451</v>
      </c>
      <c r="B129" s="7" t="s">
        <v>450</v>
      </c>
      <c r="C129" s="2" t="s">
        <v>451</v>
      </c>
      <c r="D129" s="2" t="s">
        <v>105</v>
      </c>
      <c r="E129" s="2" t="s">
        <v>1123</v>
      </c>
      <c r="F129" s="2" t="s">
        <v>1124</v>
      </c>
      <c r="G129" s="2" t="s">
        <v>1125</v>
      </c>
      <c r="H129" s="2" t="s">
        <v>1126</v>
      </c>
      <c r="I129" s="7" t="s">
        <v>1127</v>
      </c>
      <c r="J129" s="2">
        <v>55</v>
      </c>
      <c r="K129" s="2">
        <v>45</v>
      </c>
      <c r="L129" s="2">
        <v>36</v>
      </c>
      <c r="M129" s="2">
        <f t="shared" si="0"/>
        <v>136</v>
      </c>
      <c r="N129" s="2">
        <v>2</v>
      </c>
      <c r="O129" s="7" t="s">
        <v>79</v>
      </c>
      <c r="P129" s="7" t="s">
        <v>79</v>
      </c>
      <c r="Q129" s="7" t="s">
        <v>79</v>
      </c>
      <c r="R129" s="7" t="s">
        <v>79</v>
      </c>
      <c r="S129" t="s">
        <v>79</v>
      </c>
      <c r="T129" s="7" t="str" cm="1">
        <f t="array" ref="T129">IF(ISNUMBER(MATCH(TRIM(A129)&amp;"", _xlfn._xlws.FILTER(TRIM(Project_Scores!$D$2:$D$300)&amp;"", Project_Scores!$I$2:$I$300=TRUE, ""), 0)), "حاضر", "غائب")</f>
        <v>غائب</v>
      </c>
      <c r="U129" s="2" t="str">
        <f t="shared" si="1"/>
        <v>5 من 6</v>
      </c>
      <c r="V129" s="21">
        <f t="shared" si="2"/>
        <v>0.83333333333333337</v>
      </c>
      <c r="W129" s="2">
        <f t="shared" si="3"/>
        <v>138</v>
      </c>
      <c r="X129" s="2">
        <v>178</v>
      </c>
      <c r="Y129" s="2">
        <f t="shared" si="4"/>
        <v>5</v>
      </c>
      <c r="Z129" s="2">
        <f t="shared" si="5"/>
        <v>6</v>
      </c>
      <c r="AA129">
        <f t="shared" si="7"/>
        <v>183</v>
      </c>
    </row>
    <row r="130" spans="1:27" ht="15.7" customHeight="1" x14ac:dyDescent="0.4">
      <c r="A130" s="2" t="s">
        <v>143</v>
      </c>
      <c r="B130" s="7" t="s">
        <v>142</v>
      </c>
      <c r="C130" s="2" t="s">
        <v>143</v>
      </c>
      <c r="D130" s="2" t="s">
        <v>39</v>
      </c>
      <c r="E130" s="2" t="s">
        <v>1128</v>
      </c>
      <c r="F130" s="2" t="s">
        <v>1129</v>
      </c>
      <c r="G130" s="2" t="s">
        <v>1130</v>
      </c>
      <c r="H130" s="2" t="s">
        <v>271</v>
      </c>
      <c r="I130" s="7" t="s">
        <v>1127</v>
      </c>
      <c r="J130" s="2">
        <v>50</v>
      </c>
      <c r="K130" s="2">
        <v>35</v>
      </c>
      <c r="L130" s="2">
        <v>34</v>
      </c>
      <c r="M130" s="2">
        <f t="shared" si="0"/>
        <v>119</v>
      </c>
      <c r="N130" s="2">
        <v>0</v>
      </c>
      <c r="O130" s="7" t="s">
        <v>79</v>
      </c>
      <c r="P130" s="7" t="s">
        <v>79</v>
      </c>
      <c r="Q130" s="7" t="s">
        <v>79</v>
      </c>
      <c r="R130" s="7" t="s">
        <v>79</v>
      </c>
      <c r="S130" t="s">
        <v>79</v>
      </c>
      <c r="T130" s="7" t="str" cm="1">
        <f t="array" ref="T130">IF(ISNUMBER(MATCH(TRIM(A130)&amp;"", _xlfn._xlws.FILTER(TRIM(Project_Scores!$D$2:$D$300)&amp;"", Project_Scores!$I$2:$I$300=TRUE, ""), 0)), "حاضر", "غائب")</f>
        <v>غائب</v>
      </c>
      <c r="U130" s="2" t="str">
        <f t="shared" si="1"/>
        <v>5 من 6</v>
      </c>
      <c r="V130" s="21">
        <f t="shared" si="2"/>
        <v>0.83333333333333337</v>
      </c>
      <c r="W130" s="2">
        <f t="shared" si="3"/>
        <v>119</v>
      </c>
      <c r="X130" s="2">
        <v>159</v>
      </c>
      <c r="Y130" s="2">
        <f t="shared" si="4"/>
        <v>5</v>
      </c>
      <c r="Z130" s="2">
        <f t="shared" si="5"/>
        <v>6</v>
      </c>
      <c r="AA130">
        <f t="shared" si="7"/>
        <v>164</v>
      </c>
    </row>
    <row r="131" spans="1:27" ht="15.7" customHeight="1" x14ac:dyDescent="0.4">
      <c r="A131" s="2" t="s">
        <v>259</v>
      </c>
      <c r="B131" s="7" t="s">
        <v>1131</v>
      </c>
      <c r="C131" s="2" t="s">
        <v>259</v>
      </c>
      <c r="D131" s="2" t="s">
        <v>39</v>
      </c>
      <c r="E131" s="2" t="s">
        <v>1132</v>
      </c>
      <c r="F131" s="2" t="s">
        <v>720</v>
      </c>
      <c r="G131" s="2" t="s">
        <v>1133</v>
      </c>
      <c r="H131" s="2" t="s">
        <v>719</v>
      </c>
      <c r="I131" s="7" t="s">
        <v>1127</v>
      </c>
      <c r="J131" s="2">
        <v>40</v>
      </c>
      <c r="K131" s="2">
        <v>35</v>
      </c>
      <c r="L131" s="2">
        <v>15</v>
      </c>
      <c r="M131" s="2">
        <f t="shared" si="0"/>
        <v>90</v>
      </c>
      <c r="N131" s="2">
        <v>0</v>
      </c>
      <c r="O131" s="7" t="s">
        <v>79</v>
      </c>
      <c r="P131" s="7" t="s">
        <v>79</v>
      </c>
      <c r="Q131" s="7" t="s">
        <v>79</v>
      </c>
      <c r="R131" s="7" t="s">
        <v>79</v>
      </c>
      <c r="S131" t="s">
        <v>79</v>
      </c>
      <c r="T131" s="7" t="str" cm="1">
        <f t="array" ref="T131">IF(ISNUMBER(MATCH(TRIM(A131)&amp;"", _xlfn._xlws.FILTER(TRIM(Project_Scores!$D$2:$D$300)&amp;"", Project_Scores!$I$2:$I$300=TRUE, ""), 0)), "حاضر", "غائب")</f>
        <v>غائب</v>
      </c>
      <c r="U131" s="2" t="str">
        <f t="shared" si="1"/>
        <v>5 من 6</v>
      </c>
      <c r="V131" s="21">
        <f t="shared" si="2"/>
        <v>0.83333333333333337</v>
      </c>
      <c r="W131" s="2">
        <f t="shared" si="3"/>
        <v>90</v>
      </c>
      <c r="X131" s="2">
        <v>130</v>
      </c>
      <c r="Y131" s="2">
        <f t="shared" si="4"/>
        <v>5</v>
      </c>
      <c r="Z131" s="2">
        <f t="shared" si="5"/>
        <v>6</v>
      </c>
      <c r="AA131">
        <f t="shared" ref="AA131:AA193" si="8">COUNTIF(O131:T131,"حاضر")+(COUNTIF(O131:T131,"مستأذن")*0.5)+X131</f>
        <v>135</v>
      </c>
    </row>
    <row r="132" spans="1:27" ht="15.7" customHeight="1" x14ac:dyDescent="0.4">
      <c r="A132" s="2" t="s">
        <v>1135</v>
      </c>
      <c r="B132" s="7" t="s">
        <v>1136</v>
      </c>
      <c r="C132" s="2" t="s">
        <v>1135</v>
      </c>
      <c r="D132" s="2" t="s">
        <v>1137</v>
      </c>
      <c r="E132" s="2" t="s">
        <v>177</v>
      </c>
      <c r="F132" s="2" t="s">
        <v>1138</v>
      </c>
      <c r="G132" s="2" t="s">
        <v>1139</v>
      </c>
      <c r="H132" s="2" t="s">
        <v>1140</v>
      </c>
      <c r="I132" s="7" t="s">
        <v>1127</v>
      </c>
      <c r="J132" s="2">
        <v>0</v>
      </c>
      <c r="K132" s="2">
        <v>0</v>
      </c>
      <c r="L132" s="2">
        <v>0</v>
      </c>
      <c r="M132" s="2">
        <f t="shared" si="0"/>
        <v>0</v>
      </c>
      <c r="N132" s="2">
        <v>0</v>
      </c>
      <c r="O132" s="7" t="s">
        <v>113</v>
      </c>
      <c r="P132" s="7" t="s">
        <v>113</v>
      </c>
      <c r="Q132" s="7" t="s">
        <v>113</v>
      </c>
      <c r="R132" s="7" t="s">
        <v>113</v>
      </c>
      <c r="S132" t="s">
        <v>113</v>
      </c>
      <c r="T132" s="7" t="str" cm="1">
        <f t="array" ref="T132">IF(ISNUMBER(MATCH(TRIM(A132)&amp;"", _xlfn._xlws.FILTER(TRIM(Project_Scores!$D$2:$D$300)&amp;"", Project_Scores!$I$2:$I$300=TRUE, ""), 0)), "حاضر", "غائب")</f>
        <v>غائب</v>
      </c>
      <c r="U132" s="2" t="str">
        <f t="shared" si="1"/>
        <v>0 من 6</v>
      </c>
      <c r="V132" s="21">
        <f t="shared" si="2"/>
        <v>0</v>
      </c>
      <c r="W132" s="2">
        <f t="shared" si="3"/>
        <v>0</v>
      </c>
      <c r="X132" s="2">
        <v>0</v>
      </c>
      <c r="Y132" s="2">
        <f t="shared" si="4"/>
        <v>0</v>
      </c>
      <c r="Z132" s="2">
        <f t="shared" si="5"/>
        <v>6</v>
      </c>
      <c r="AA132">
        <f t="shared" si="8"/>
        <v>0</v>
      </c>
    </row>
    <row r="133" spans="1:27" ht="15.7" customHeight="1" x14ac:dyDescent="0.4">
      <c r="A133" s="2" t="s">
        <v>605</v>
      </c>
      <c r="B133" s="7" t="s">
        <v>1141</v>
      </c>
      <c r="C133" s="2" t="s">
        <v>605</v>
      </c>
      <c r="D133" s="2" t="s">
        <v>105</v>
      </c>
      <c r="E133" s="2" t="s">
        <v>1142</v>
      </c>
      <c r="F133" s="2" t="s">
        <v>1143</v>
      </c>
      <c r="G133" s="2" t="s">
        <v>1144</v>
      </c>
      <c r="H133" s="2" t="s">
        <v>1145</v>
      </c>
      <c r="I133" s="7" t="s">
        <v>1127</v>
      </c>
      <c r="J133" s="2">
        <v>40</v>
      </c>
      <c r="K133" s="2">
        <v>26</v>
      </c>
      <c r="L133" s="2">
        <v>15</v>
      </c>
      <c r="M133" s="2">
        <f t="shared" si="0"/>
        <v>81</v>
      </c>
      <c r="N133" s="2">
        <v>0</v>
      </c>
      <c r="O133" s="7" t="s">
        <v>79</v>
      </c>
      <c r="P133" s="7" t="s">
        <v>79</v>
      </c>
      <c r="Q133" s="7" t="s">
        <v>79</v>
      </c>
      <c r="R133" s="7" t="s">
        <v>113</v>
      </c>
      <c r="S133" t="s">
        <v>79</v>
      </c>
      <c r="T133" s="7" t="str" cm="1">
        <f t="array" ref="T133">IF(ISNUMBER(MATCH(TRIM(A133)&amp;"", _xlfn._xlws.FILTER(TRIM(Project_Scores!$D$2:$D$300)&amp;"", Project_Scores!$I$2:$I$300=TRUE, ""), 0)), "حاضر", "غائب")</f>
        <v>غائب</v>
      </c>
      <c r="U133" s="2" t="str">
        <f t="shared" si="1"/>
        <v>4 من 6</v>
      </c>
      <c r="V133" s="21">
        <f t="shared" si="2"/>
        <v>0.66666666666666663</v>
      </c>
      <c r="W133" s="2">
        <f t="shared" si="3"/>
        <v>81</v>
      </c>
      <c r="X133" s="2">
        <v>111</v>
      </c>
      <c r="Y133" s="2">
        <f t="shared" si="4"/>
        <v>4</v>
      </c>
      <c r="Z133" s="2">
        <f t="shared" si="5"/>
        <v>6</v>
      </c>
      <c r="AA133">
        <f t="shared" si="8"/>
        <v>115</v>
      </c>
    </row>
    <row r="134" spans="1:27" ht="15.7" customHeight="1" x14ac:dyDescent="0.4">
      <c r="A134" s="2" t="s">
        <v>178</v>
      </c>
      <c r="B134" s="7" t="s">
        <v>176</v>
      </c>
      <c r="C134" s="2" t="s">
        <v>178</v>
      </c>
      <c r="D134" s="2" t="s">
        <v>39</v>
      </c>
      <c r="E134" s="2" t="s">
        <v>1146</v>
      </c>
      <c r="F134" s="2" t="s">
        <v>361</v>
      </c>
      <c r="G134" s="2" t="s">
        <v>1147</v>
      </c>
      <c r="H134" s="2" t="s">
        <v>360</v>
      </c>
      <c r="I134" s="7" t="s">
        <v>150</v>
      </c>
      <c r="J134" s="2">
        <v>55</v>
      </c>
      <c r="K134" s="2">
        <v>22</v>
      </c>
      <c r="L134" s="2">
        <v>15</v>
      </c>
      <c r="M134" s="2">
        <f t="shared" si="0"/>
        <v>92</v>
      </c>
      <c r="N134" s="2">
        <v>6</v>
      </c>
      <c r="O134" s="7" t="s">
        <v>79</v>
      </c>
      <c r="P134" s="7" t="s">
        <v>79</v>
      </c>
      <c r="Q134" s="7" t="s">
        <v>79</v>
      </c>
      <c r="R134" s="7" t="s">
        <v>79</v>
      </c>
      <c r="S134" t="s">
        <v>79</v>
      </c>
      <c r="T134" s="7" t="str" cm="1">
        <f t="array" ref="T134">IF(ISNUMBER(MATCH(TRIM(A134)&amp;"", _xlfn._xlws.FILTER(TRIM(Project_Scores!$D$2:$D$300)&amp;"", Project_Scores!$I$2:$I$300=TRUE, ""), 0)), "حاضر", "غائب")</f>
        <v>غائب</v>
      </c>
      <c r="U134" s="2" t="str">
        <f t="shared" si="1"/>
        <v>5 من 6</v>
      </c>
      <c r="V134" s="21">
        <f t="shared" si="2"/>
        <v>0.83333333333333337</v>
      </c>
      <c r="W134" s="2">
        <f t="shared" si="3"/>
        <v>98</v>
      </c>
      <c r="X134" s="2">
        <v>138</v>
      </c>
      <c r="Y134" s="2">
        <f t="shared" si="4"/>
        <v>5</v>
      </c>
      <c r="Z134" s="2">
        <f t="shared" si="5"/>
        <v>6</v>
      </c>
      <c r="AA134">
        <f t="shared" si="8"/>
        <v>143</v>
      </c>
    </row>
    <row r="135" spans="1:27" ht="15.7" customHeight="1" x14ac:dyDescent="0.4">
      <c r="A135" s="2" t="s">
        <v>436</v>
      </c>
      <c r="B135" s="7" t="s">
        <v>1148</v>
      </c>
      <c r="C135" s="2" t="s">
        <v>436</v>
      </c>
      <c r="D135" s="2" t="s">
        <v>105</v>
      </c>
      <c r="E135" s="2" t="s">
        <v>1149</v>
      </c>
      <c r="F135" s="2" t="s">
        <v>1120</v>
      </c>
      <c r="G135" s="2" t="s">
        <v>1150</v>
      </c>
      <c r="H135" s="2" t="s">
        <v>1119</v>
      </c>
      <c r="I135" s="7" t="s">
        <v>1127</v>
      </c>
      <c r="J135" s="2">
        <v>53.5</v>
      </c>
      <c r="K135" s="2">
        <v>42</v>
      </c>
      <c r="L135" s="2">
        <v>15</v>
      </c>
      <c r="M135" s="2">
        <f t="shared" si="0"/>
        <v>110.5</v>
      </c>
      <c r="N135" s="2">
        <v>8</v>
      </c>
      <c r="O135" s="7" t="s">
        <v>79</v>
      </c>
      <c r="P135" s="7" t="s">
        <v>79</v>
      </c>
      <c r="Q135" s="7" t="s">
        <v>79</v>
      </c>
      <c r="R135" s="7" t="s">
        <v>113</v>
      </c>
      <c r="S135" t="s">
        <v>79</v>
      </c>
      <c r="T135" s="7" t="str" cm="1">
        <f t="array" ref="T135">IF(ISNUMBER(MATCH(TRIM(A135)&amp;"", _xlfn._xlws.FILTER(TRIM(Project_Scores!$D$2:$D$300)&amp;"", Project_Scores!$I$2:$I$300=TRUE, ""), 0)), "حاضر", "غائب")</f>
        <v>غائب</v>
      </c>
      <c r="U135" s="2" t="str">
        <f t="shared" si="1"/>
        <v>4 من 6</v>
      </c>
      <c r="V135" s="21">
        <f t="shared" si="2"/>
        <v>0.66666666666666663</v>
      </c>
      <c r="W135" s="2">
        <f t="shared" si="3"/>
        <v>118.5</v>
      </c>
      <c r="X135" s="2">
        <v>148.5</v>
      </c>
      <c r="Y135" s="2">
        <f t="shared" si="4"/>
        <v>4</v>
      </c>
      <c r="Z135" s="2">
        <f t="shared" si="5"/>
        <v>6</v>
      </c>
      <c r="AA135">
        <f t="shared" si="8"/>
        <v>152.5</v>
      </c>
    </row>
    <row r="136" spans="1:27" ht="15.7" customHeight="1" x14ac:dyDescent="0.4">
      <c r="A136" s="2" t="s">
        <v>1151</v>
      </c>
      <c r="B136" s="7" t="s">
        <v>1152</v>
      </c>
      <c r="C136" s="2" t="s">
        <v>1151</v>
      </c>
      <c r="D136" s="2" t="s">
        <v>1153</v>
      </c>
      <c r="E136" s="2" t="s">
        <v>417</v>
      </c>
      <c r="F136" s="2" t="s">
        <v>1154</v>
      </c>
      <c r="G136" s="2" t="s">
        <v>1155</v>
      </c>
      <c r="H136" s="2" t="s">
        <v>1156</v>
      </c>
      <c r="I136" s="7" t="s">
        <v>1127</v>
      </c>
      <c r="J136" s="2">
        <v>0</v>
      </c>
      <c r="K136" s="2">
        <v>0</v>
      </c>
      <c r="L136" s="2">
        <v>0</v>
      </c>
      <c r="M136" s="2">
        <f t="shared" si="0"/>
        <v>0</v>
      </c>
      <c r="N136" s="2">
        <v>0</v>
      </c>
      <c r="O136" s="7" t="s">
        <v>113</v>
      </c>
      <c r="P136" s="7" t="s">
        <v>113</v>
      </c>
      <c r="Q136" s="7" t="s">
        <v>113</v>
      </c>
      <c r="R136" s="7" t="s">
        <v>113</v>
      </c>
      <c r="S136" t="s">
        <v>113</v>
      </c>
      <c r="T136" s="7" t="str" cm="1">
        <f t="array" ref="T136">IF(ISNUMBER(MATCH(TRIM(A136)&amp;"", _xlfn._xlws.FILTER(TRIM(Project_Scores!$D$2:$D$300)&amp;"", Project_Scores!$I$2:$I$300=TRUE, ""), 0)), "حاضر", "غائب")</f>
        <v>غائب</v>
      </c>
      <c r="U136" s="2" t="str">
        <f t="shared" si="1"/>
        <v>0 من 6</v>
      </c>
      <c r="V136" s="21">
        <f t="shared" si="2"/>
        <v>0</v>
      </c>
      <c r="W136" s="2">
        <f t="shared" si="3"/>
        <v>0</v>
      </c>
      <c r="X136" s="2">
        <v>0</v>
      </c>
      <c r="Y136" s="2">
        <f t="shared" si="4"/>
        <v>0</v>
      </c>
      <c r="Z136" s="2">
        <f t="shared" si="5"/>
        <v>6</v>
      </c>
      <c r="AA136">
        <f t="shared" si="8"/>
        <v>0</v>
      </c>
    </row>
    <row r="137" spans="1:27" ht="15.7" customHeight="1" x14ac:dyDescent="0.4">
      <c r="A137" s="2" t="s">
        <v>396</v>
      </c>
      <c r="B137" s="7" t="s">
        <v>1157</v>
      </c>
      <c r="C137" s="2" t="s">
        <v>396</v>
      </c>
      <c r="D137" s="2" t="s">
        <v>105</v>
      </c>
      <c r="E137" s="2" t="s">
        <v>1158</v>
      </c>
      <c r="F137" s="2" t="s">
        <v>1023</v>
      </c>
      <c r="G137" s="2" t="s">
        <v>1159</v>
      </c>
      <c r="H137" s="2" t="s">
        <v>1022</v>
      </c>
      <c r="I137" s="7" t="s">
        <v>53</v>
      </c>
      <c r="J137" s="2">
        <v>40</v>
      </c>
      <c r="K137" s="2">
        <v>0</v>
      </c>
      <c r="L137" s="2">
        <v>15</v>
      </c>
      <c r="M137" s="2">
        <f t="shared" si="0"/>
        <v>55</v>
      </c>
      <c r="N137" s="2">
        <v>2</v>
      </c>
      <c r="O137" s="7" t="s">
        <v>79</v>
      </c>
      <c r="P137" s="7" t="s">
        <v>162</v>
      </c>
      <c r="Q137" s="7" t="s">
        <v>79</v>
      </c>
      <c r="R137" s="7" t="s">
        <v>113</v>
      </c>
      <c r="S137" t="s">
        <v>79</v>
      </c>
      <c r="T137" s="7" t="str" cm="1">
        <f t="array" ref="T137">IF(ISNUMBER(MATCH(TRIM(A137)&amp;"", _xlfn._xlws.FILTER(TRIM(Project_Scores!$D$2:$D$300)&amp;"", Project_Scores!$I$2:$I$300=TRUE, ""), 0)), "حاضر", "غائب")</f>
        <v>غائب</v>
      </c>
      <c r="U137" s="2" t="str">
        <f t="shared" si="1"/>
        <v>3 من 6</v>
      </c>
      <c r="V137" s="21">
        <f t="shared" si="2"/>
        <v>0.5</v>
      </c>
      <c r="W137" s="2">
        <f t="shared" si="3"/>
        <v>57</v>
      </c>
      <c r="X137" s="2">
        <v>77</v>
      </c>
      <c r="Y137" s="2">
        <f t="shared" si="4"/>
        <v>3</v>
      </c>
      <c r="Z137" s="2">
        <f t="shared" si="5"/>
        <v>6</v>
      </c>
      <c r="AA137">
        <f t="shared" si="8"/>
        <v>80.5</v>
      </c>
    </row>
    <row r="138" spans="1:27" ht="15.7" customHeight="1" x14ac:dyDescent="0.4">
      <c r="A138" s="2" t="s">
        <v>270</v>
      </c>
      <c r="B138" s="7" t="s">
        <v>269</v>
      </c>
      <c r="C138" s="2" t="s">
        <v>270</v>
      </c>
      <c r="D138" s="2" t="s">
        <v>105</v>
      </c>
      <c r="E138" s="2" t="s">
        <v>1162</v>
      </c>
      <c r="F138" s="2" t="s">
        <v>760</v>
      </c>
      <c r="G138" s="2" t="s">
        <v>1163</v>
      </c>
      <c r="H138" s="2" t="s">
        <v>759</v>
      </c>
      <c r="I138" s="7" t="s">
        <v>199</v>
      </c>
      <c r="J138" s="2">
        <v>54</v>
      </c>
      <c r="K138" s="2">
        <v>44</v>
      </c>
      <c r="L138" s="2">
        <v>35</v>
      </c>
      <c r="M138" s="2">
        <f t="shared" si="0"/>
        <v>133</v>
      </c>
      <c r="N138" s="2">
        <v>22</v>
      </c>
      <c r="O138" s="7" t="s">
        <v>79</v>
      </c>
      <c r="P138" s="7" t="s">
        <v>79</v>
      </c>
      <c r="Q138" s="7" t="s">
        <v>113</v>
      </c>
      <c r="R138" s="7" t="s">
        <v>79</v>
      </c>
      <c r="S138" t="s">
        <v>79</v>
      </c>
      <c r="T138" s="7" t="str" cm="1">
        <f t="array" ref="T138">IF(ISNUMBER(MATCH(TRIM(A138)&amp;"", _xlfn._xlws.FILTER(TRIM(Project_Scores!$D$2:$D$300)&amp;"", Project_Scores!$I$2:$I$300=TRUE, ""), 0)), "حاضر", "غائب")</f>
        <v>غائب</v>
      </c>
      <c r="U138" s="2" t="str">
        <f t="shared" si="1"/>
        <v>4 من 6</v>
      </c>
      <c r="V138" s="21">
        <f t="shared" si="2"/>
        <v>0.66666666666666663</v>
      </c>
      <c r="W138" s="2">
        <f t="shared" si="3"/>
        <v>155</v>
      </c>
      <c r="X138" s="2">
        <v>185</v>
      </c>
      <c r="Y138" s="2">
        <f t="shared" si="4"/>
        <v>4</v>
      </c>
      <c r="Z138" s="2">
        <f t="shared" si="5"/>
        <v>6</v>
      </c>
      <c r="AA138">
        <f t="shared" si="8"/>
        <v>189</v>
      </c>
    </row>
    <row r="139" spans="1:27" ht="15.7" customHeight="1" x14ac:dyDescent="0.4">
      <c r="A139" s="2" t="s">
        <v>223</v>
      </c>
      <c r="B139" s="7" t="s">
        <v>1167</v>
      </c>
      <c r="C139" s="2" t="s">
        <v>223</v>
      </c>
      <c r="D139" s="2" t="s">
        <v>137</v>
      </c>
      <c r="E139" s="2" t="s">
        <v>417</v>
      </c>
      <c r="F139" s="2" t="s">
        <v>476</v>
      </c>
      <c r="G139" s="2" t="s">
        <v>1168</v>
      </c>
      <c r="H139" s="2" t="s">
        <v>474</v>
      </c>
      <c r="I139" s="7" t="s">
        <v>1127</v>
      </c>
      <c r="J139" s="2">
        <v>55</v>
      </c>
      <c r="K139" s="2">
        <v>35</v>
      </c>
      <c r="L139" s="2">
        <v>15</v>
      </c>
      <c r="M139" s="2">
        <f t="shared" si="0"/>
        <v>105</v>
      </c>
      <c r="N139" s="2">
        <v>0</v>
      </c>
      <c r="O139" s="7" t="s">
        <v>79</v>
      </c>
      <c r="P139" s="7" t="s">
        <v>79</v>
      </c>
      <c r="Q139" s="7" t="s">
        <v>79</v>
      </c>
      <c r="R139" s="7" t="s">
        <v>79</v>
      </c>
      <c r="S139" t="s">
        <v>79</v>
      </c>
      <c r="T139" s="7" t="str" cm="1">
        <f t="array" ref="T139">IF(ISNUMBER(MATCH(TRIM(A139)&amp;"", _xlfn._xlws.FILTER(TRIM(Project_Scores!$D$2:$D$300)&amp;"", Project_Scores!$I$2:$I$300=TRUE, ""), 0)), "حاضر", "غائب")</f>
        <v>غائب</v>
      </c>
      <c r="U139" s="2" t="str">
        <f t="shared" si="1"/>
        <v>5 من 6</v>
      </c>
      <c r="V139" s="21">
        <f t="shared" si="2"/>
        <v>0.83333333333333337</v>
      </c>
      <c r="W139" s="2">
        <f t="shared" si="3"/>
        <v>105</v>
      </c>
      <c r="X139" s="2">
        <v>145</v>
      </c>
      <c r="Y139" s="2">
        <f t="shared" si="4"/>
        <v>5</v>
      </c>
      <c r="Z139" s="2">
        <f t="shared" si="5"/>
        <v>6</v>
      </c>
      <c r="AA139">
        <f t="shared" si="8"/>
        <v>150</v>
      </c>
    </row>
    <row r="140" spans="1:27" ht="15.7" customHeight="1" x14ac:dyDescent="0.4">
      <c r="A140" s="2" t="s">
        <v>774</v>
      </c>
      <c r="B140" s="7" t="s">
        <v>1169</v>
      </c>
      <c r="C140" s="2" t="s">
        <v>774</v>
      </c>
      <c r="D140" s="2" t="s">
        <v>105</v>
      </c>
      <c r="E140" s="2" t="s">
        <v>1170</v>
      </c>
      <c r="F140" s="2" t="s">
        <v>1171</v>
      </c>
      <c r="G140" s="2" t="s">
        <v>1172</v>
      </c>
      <c r="H140" s="2" t="s">
        <v>1173</v>
      </c>
      <c r="I140" s="7" t="s">
        <v>1127</v>
      </c>
      <c r="J140" s="2">
        <v>49</v>
      </c>
      <c r="K140" s="2">
        <v>43</v>
      </c>
      <c r="L140" s="2">
        <v>15</v>
      </c>
      <c r="M140" s="2">
        <f t="shared" si="0"/>
        <v>107</v>
      </c>
      <c r="N140" s="2">
        <v>0</v>
      </c>
      <c r="O140" s="7" t="s">
        <v>79</v>
      </c>
      <c r="P140" s="7" t="s">
        <v>79</v>
      </c>
      <c r="Q140" s="7" t="s">
        <v>79</v>
      </c>
      <c r="R140" s="7" t="s">
        <v>79</v>
      </c>
      <c r="S140" t="s">
        <v>113</v>
      </c>
      <c r="T140" s="7" t="str" cm="1">
        <f t="array" ref="T140">IF(ISNUMBER(MATCH(TRIM(A140)&amp;"", _xlfn._xlws.FILTER(TRIM(Project_Scores!$D$2:$D$300)&amp;"", Project_Scores!$I$2:$I$300=TRUE, ""), 0)), "حاضر", "غائب")</f>
        <v>غائب</v>
      </c>
      <c r="U140" s="2" t="str">
        <f t="shared" si="1"/>
        <v>4 من 6</v>
      </c>
      <c r="V140" s="21">
        <f t="shared" si="2"/>
        <v>0.66666666666666663</v>
      </c>
      <c r="W140" s="2">
        <f t="shared" si="3"/>
        <v>107</v>
      </c>
      <c r="X140" s="2">
        <v>147</v>
      </c>
      <c r="Y140" s="2">
        <f t="shared" si="4"/>
        <v>4</v>
      </c>
      <c r="Z140" s="2">
        <f t="shared" si="5"/>
        <v>6</v>
      </c>
      <c r="AA140">
        <f t="shared" si="8"/>
        <v>151</v>
      </c>
    </row>
    <row r="141" spans="1:27" ht="15.7" customHeight="1" x14ac:dyDescent="0.4">
      <c r="A141" s="2" t="s">
        <v>546</v>
      </c>
      <c r="B141" s="7" t="s">
        <v>545</v>
      </c>
      <c r="C141" s="2" t="s">
        <v>546</v>
      </c>
      <c r="D141" s="2" t="s">
        <v>105</v>
      </c>
      <c r="E141" s="2" t="s">
        <v>1180</v>
      </c>
      <c r="F141" s="2" t="s">
        <v>1181</v>
      </c>
      <c r="G141" s="2" t="s">
        <v>1182</v>
      </c>
      <c r="H141" s="2" t="s">
        <v>1183</v>
      </c>
      <c r="I141" s="7" t="s">
        <v>1127</v>
      </c>
      <c r="J141" s="2">
        <v>0</v>
      </c>
      <c r="K141" s="2">
        <v>0</v>
      </c>
      <c r="L141" s="2">
        <v>0</v>
      </c>
      <c r="M141" s="2">
        <f t="shared" si="0"/>
        <v>0</v>
      </c>
      <c r="N141" s="2">
        <v>0</v>
      </c>
      <c r="O141" s="7" t="s">
        <v>113</v>
      </c>
      <c r="P141" s="7" t="s">
        <v>113</v>
      </c>
      <c r="Q141" s="7" t="s">
        <v>113</v>
      </c>
      <c r="R141" s="7" t="s">
        <v>113</v>
      </c>
      <c r="S141" t="s">
        <v>113</v>
      </c>
      <c r="T141" s="7" t="str" cm="1">
        <f t="array" ref="T141">IF(ISNUMBER(MATCH(TRIM(A141)&amp;"", _xlfn._xlws.FILTER(TRIM(Project_Scores!$D$2:$D$300)&amp;"", Project_Scores!$I$2:$I$300=TRUE, ""), 0)), "حاضر", "غائب")</f>
        <v>غائب</v>
      </c>
      <c r="U141" s="2" t="str">
        <f t="shared" si="1"/>
        <v>0 من 6</v>
      </c>
      <c r="V141" s="21">
        <f t="shared" si="2"/>
        <v>0</v>
      </c>
      <c r="W141" s="2">
        <f t="shared" si="3"/>
        <v>0</v>
      </c>
      <c r="X141" s="2">
        <v>0</v>
      </c>
      <c r="Y141" s="2">
        <f t="shared" si="4"/>
        <v>0</v>
      </c>
      <c r="Z141" s="2">
        <f t="shared" si="5"/>
        <v>6</v>
      </c>
      <c r="AA141">
        <f t="shared" si="8"/>
        <v>0</v>
      </c>
    </row>
    <row r="142" spans="1:27" ht="15.7" customHeight="1" x14ac:dyDescent="0.4">
      <c r="A142" s="2" t="s">
        <v>488</v>
      </c>
      <c r="B142" s="7" t="s">
        <v>487</v>
      </c>
      <c r="C142" s="2" t="s">
        <v>488</v>
      </c>
      <c r="D142" s="2" t="s">
        <v>39</v>
      </c>
      <c r="E142" s="2" t="s">
        <v>1184</v>
      </c>
      <c r="F142" s="2" t="s">
        <v>1175</v>
      </c>
      <c r="G142" s="2" t="s">
        <v>1185</v>
      </c>
      <c r="H142" s="2" t="s">
        <v>1174</v>
      </c>
      <c r="I142" s="7" t="s">
        <v>122</v>
      </c>
      <c r="J142" s="2">
        <v>30</v>
      </c>
      <c r="K142" s="2">
        <v>22</v>
      </c>
      <c r="L142" s="2">
        <v>15</v>
      </c>
      <c r="M142" s="2">
        <f t="shared" si="0"/>
        <v>67</v>
      </c>
      <c r="N142" s="2">
        <v>0</v>
      </c>
      <c r="O142" s="7" t="s">
        <v>79</v>
      </c>
      <c r="P142" s="7" t="s">
        <v>79</v>
      </c>
      <c r="Q142" s="7" t="s">
        <v>79</v>
      </c>
      <c r="R142" s="7" t="s">
        <v>79</v>
      </c>
      <c r="S142" t="s">
        <v>79</v>
      </c>
      <c r="T142" s="7" t="str" cm="1">
        <f t="array" ref="T142">IF(ISNUMBER(MATCH(TRIM(A142)&amp;"", _xlfn._xlws.FILTER(TRIM(Project_Scores!$D$2:$D$300)&amp;"", Project_Scores!$I$2:$I$300=TRUE, ""), 0)), "حاضر", "غائب")</f>
        <v>غائب</v>
      </c>
      <c r="U142" s="2" t="str">
        <f t="shared" si="1"/>
        <v>5 من 6</v>
      </c>
      <c r="V142" s="21">
        <f t="shared" si="2"/>
        <v>0.83333333333333337</v>
      </c>
      <c r="W142" s="2">
        <f t="shared" si="3"/>
        <v>67</v>
      </c>
      <c r="X142" s="2">
        <v>107</v>
      </c>
      <c r="Y142" s="2">
        <f t="shared" si="4"/>
        <v>5</v>
      </c>
      <c r="Z142" s="2">
        <f t="shared" si="5"/>
        <v>6</v>
      </c>
      <c r="AA142">
        <f t="shared" si="8"/>
        <v>112</v>
      </c>
    </row>
    <row r="143" spans="1:27" ht="15.7" customHeight="1" x14ac:dyDescent="0.4">
      <c r="A143" s="2" t="s">
        <v>1186</v>
      </c>
      <c r="B143" s="7" t="s">
        <v>1187</v>
      </c>
      <c r="C143" s="2" t="s">
        <v>1186</v>
      </c>
      <c r="D143" s="2" t="s">
        <v>39</v>
      </c>
      <c r="E143" s="2" t="s">
        <v>1188</v>
      </c>
      <c r="F143" s="2" t="s">
        <v>1189</v>
      </c>
      <c r="G143" s="2" t="s">
        <v>1190</v>
      </c>
      <c r="H143" s="2" t="s">
        <v>1191</v>
      </c>
      <c r="I143" s="7" t="s">
        <v>122</v>
      </c>
      <c r="J143" s="2">
        <v>0</v>
      </c>
      <c r="K143" s="2">
        <v>0</v>
      </c>
      <c r="L143" s="2">
        <v>0</v>
      </c>
      <c r="M143" s="2">
        <f t="shared" si="0"/>
        <v>0</v>
      </c>
      <c r="N143" s="2">
        <v>0</v>
      </c>
      <c r="O143" s="7" t="s">
        <v>113</v>
      </c>
      <c r="P143" s="7" t="s">
        <v>113</v>
      </c>
      <c r="Q143" s="7" t="s">
        <v>113</v>
      </c>
      <c r="R143" s="7" t="s">
        <v>113</v>
      </c>
      <c r="S143" t="s">
        <v>113</v>
      </c>
      <c r="T143" s="7" t="str" cm="1">
        <f t="array" ref="T143">IF(ISNUMBER(MATCH(TRIM(A143)&amp;"", _xlfn._xlws.FILTER(TRIM(Project_Scores!$D$2:$D$300)&amp;"", Project_Scores!$I$2:$I$300=TRUE, ""), 0)), "حاضر", "غائب")</f>
        <v>غائب</v>
      </c>
      <c r="U143" s="2" t="str">
        <f t="shared" si="1"/>
        <v>0 من 6</v>
      </c>
      <c r="V143" s="21">
        <f t="shared" si="2"/>
        <v>0</v>
      </c>
      <c r="W143" s="2">
        <f t="shared" si="3"/>
        <v>0</v>
      </c>
      <c r="X143" s="2">
        <v>0</v>
      </c>
      <c r="Y143" s="2">
        <f t="shared" si="4"/>
        <v>0</v>
      </c>
      <c r="Z143" s="2">
        <f t="shared" si="5"/>
        <v>6</v>
      </c>
      <c r="AA143">
        <f t="shared" si="8"/>
        <v>0</v>
      </c>
    </row>
    <row r="144" spans="1:27" ht="15.7" customHeight="1" x14ac:dyDescent="0.4">
      <c r="A144" s="2" t="s">
        <v>1194</v>
      </c>
      <c r="B144" s="7" t="s">
        <v>1195</v>
      </c>
      <c r="C144" s="2" t="s">
        <v>1194</v>
      </c>
      <c r="D144" s="2" t="s">
        <v>137</v>
      </c>
      <c r="E144" s="2" t="s">
        <v>138</v>
      </c>
      <c r="F144" s="2" t="s">
        <v>1196</v>
      </c>
      <c r="G144" s="2" t="s">
        <v>1197</v>
      </c>
      <c r="H144" s="2" t="s">
        <v>1198</v>
      </c>
      <c r="I144" s="7" t="s">
        <v>1199</v>
      </c>
      <c r="J144" s="2">
        <v>0</v>
      </c>
      <c r="K144" s="2">
        <v>0</v>
      </c>
      <c r="L144" s="2">
        <v>0</v>
      </c>
      <c r="M144" s="2">
        <f t="shared" si="0"/>
        <v>0</v>
      </c>
      <c r="N144" s="2">
        <v>0</v>
      </c>
      <c r="O144" s="7" t="s">
        <v>79</v>
      </c>
      <c r="P144" s="7" t="s">
        <v>79</v>
      </c>
      <c r="Q144" s="7" t="s">
        <v>113</v>
      </c>
      <c r="R144" s="7" t="s">
        <v>113</v>
      </c>
      <c r="S144" t="s">
        <v>113</v>
      </c>
      <c r="T144" s="7" t="str" cm="1">
        <f t="array" ref="T144">IF(ISNUMBER(MATCH(TRIM(A144)&amp;"", _xlfn._xlws.FILTER(TRIM(Project_Scores!$D$2:$D$300)&amp;"", Project_Scores!$I$2:$I$300=TRUE, ""), 0)), "حاضر", "غائب")</f>
        <v>غائب</v>
      </c>
      <c r="U144" s="2" t="str">
        <f t="shared" si="1"/>
        <v>2 من 6</v>
      </c>
      <c r="V144" s="21">
        <f t="shared" si="2"/>
        <v>0.33333333333333331</v>
      </c>
      <c r="W144" s="2">
        <f t="shared" si="3"/>
        <v>0</v>
      </c>
      <c r="X144" s="2">
        <v>20</v>
      </c>
      <c r="Y144" s="2">
        <f t="shared" si="4"/>
        <v>2</v>
      </c>
      <c r="Z144" s="2">
        <f t="shared" si="5"/>
        <v>6</v>
      </c>
      <c r="AA144">
        <f t="shared" si="8"/>
        <v>22</v>
      </c>
    </row>
    <row r="145" spans="1:27" ht="15.7" customHeight="1" x14ac:dyDescent="0.4">
      <c r="A145" s="2" t="s">
        <v>98</v>
      </c>
      <c r="B145" s="7" t="s">
        <v>97</v>
      </c>
      <c r="C145" s="2" t="s">
        <v>98</v>
      </c>
      <c r="D145" s="2" t="s">
        <v>39</v>
      </c>
      <c r="E145" s="2" t="s">
        <v>1200</v>
      </c>
      <c r="F145" s="2" t="s">
        <v>214</v>
      </c>
      <c r="G145" s="2" t="s">
        <v>1201</v>
      </c>
      <c r="H145" s="2" t="s">
        <v>1202</v>
      </c>
      <c r="I145" s="2" t="s">
        <v>553</v>
      </c>
      <c r="J145" s="2">
        <v>48</v>
      </c>
      <c r="K145" s="2">
        <v>42</v>
      </c>
      <c r="L145" s="2">
        <v>15</v>
      </c>
      <c r="M145" s="2">
        <f t="shared" si="0"/>
        <v>105</v>
      </c>
      <c r="N145" s="2">
        <v>4</v>
      </c>
      <c r="O145" s="7" t="s">
        <v>79</v>
      </c>
      <c r="P145" s="7" t="s">
        <v>79</v>
      </c>
      <c r="Q145" s="7" t="s">
        <v>79</v>
      </c>
      <c r="R145" s="7" t="s">
        <v>79</v>
      </c>
      <c r="S145" t="s">
        <v>79</v>
      </c>
      <c r="T145" s="7" t="str" cm="1">
        <f t="array" ref="T145">IF(ISNUMBER(MATCH(TRIM(A145)&amp;"", _xlfn._xlws.FILTER(TRIM(Project_Scores!$D$2:$D$300)&amp;"", Project_Scores!$I$2:$I$300=TRUE, ""), 0)), "حاضر", "غائب")</f>
        <v>غائب</v>
      </c>
      <c r="U145" s="2" t="str">
        <f t="shared" si="1"/>
        <v>5 من 6</v>
      </c>
      <c r="V145" s="21">
        <f t="shared" si="2"/>
        <v>0.83333333333333337</v>
      </c>
      <c r="W145" s="2">
        <f t="shared" si="3"/>
        <v>109</v>
      </c>
      <c r="X145" s="2">
        <v>149</v>
      </c>
      <c r="Y145" s="2">
        <f t="shared" si="4"/>
        <v>5</v>
      </c>
      <c r="Z145" s="2">
        <f t="shared" si="5"/>
        <v>6</v>
      </c>
      <c r="AA145">
        <f t="shared" si="8"/>
        <v>154</v>
      </c>
    </row>
    <row r="146" spans="1:27" ht="15.7" customHeight="1" x14ac:dyDescent="0.4">
      <c r="A146" s="2" t="s">
        <v>751</v>
      </c>
      <c r="B146" s="7" t="s">
        <v>1204</v>
      </c>
      <c r="C146" s="2" t="s">
        <v>751</v>
      </c>
      <c r="D146" s="2" t="s">
        <v>137</v>
      </c>
      <c r="E146" s="2" t="s">
        <v>897</v>
      </c>
      <c r="F146" s="2" t="s">
        <v>1206</v>
      </c>
      <c r="G146" s="2" t="s">
        <v>1207</v>
      </c>
      <c r="H146" s="2" t="s">
        <v>1208</v>
      </c>
      <c r="I146" s="7" t="s">
        <v>430</v>
      </c>
      <c r="J146" s="2">
        <v>40</v>
      </c>
      <c r="K146" s="2">
        <v>25</v>
      </c>
      <c r="L146" s="2">
        <v>0</v>
      </c>
      <c r="M146" s="2">
        <f t="shared" si="0"/>
        <v>65</v>
      </c>
      <c r="N146" s="2">
        <v>0</v>
      </c>
      <c r="O146" s="7" t="s">
        <v>79</v>
      </c>
      <c r="P146" s="7" t="s">
        <v>79</v>
      </c>
      <c r="Q146" s="7" t="s">
        <v>79</v>
      </c>
      <c r="R146" s="7" t="s">
        <v>79</v>
      </c>
      <c r="S146" t="s">
        <v>79</v>
      </c>
      <c r="T146" s="7" t="str" cm="1">
        <f t="array" ref="T146">IF(ISNUMBER(MATCH(TRIM(A146)&amp;"", _xlfn._xlws.FILTER(TRIM(Project_Scores!$D$2:$D$300)&amp;"", Project_Scores!$I$2:$I$300=TRUE, ""), 0)), "حاضر", "غائب")</f>
        <v>غائب</v>
      </c>
      <c r="U146" s="2" t="str">
        <f t="shared" si="1"/>
        <v>5 من 6</v>
      </c>
      <c r="V146" s="21">
        <f t="shared" si="2"/>
        <v>0.83333333333333337</v>
      </c>
      <c r="W146" s="2">
        <f t="shared" si="3"/>
        <v>65</v>
      </c>
      <c r="X146" s="2">
        <v>105</v>
      </c>
      <c r="Y146" s="2">
        <f t="shared" si="4"/>
        <v>5</v>
      </c>
      <c r="Z146" s="2">
        <f t="shared" si="5"/>
        <v>6</v>
      </c>
      <c r="AA146">
        <f t="shared" si="8"/>
        <v>110</v>
      </c>
    </row>
    <row r="147" spans="1:27" ht="15.7" customHeight="1" x14ac:dyDescent="0.4">
      <c r="A147" s="2" t="s">
        <v>518</v>
      </c>
      <c r="B147" s="7" t="s">
        <v>517</v>
      </c>
      <c r="C147" s="2" t="s">
        <v>518</v>
      </c>
      <c r="D147" s="2" t="s">
        <v>105</v>
      </c>
      <c r="E147" s="2" t="s">
        <v>1209</v>
      </c>
      <c r="F147" s="2" t="s">
        <v>1193</v>
      </c>
      <c r="G147" s="2" t="s">
        <v>1210</v>
      </c>
      <c r="H147" s="2" t="s">
        <v>1192</v>
      </c>
      <c r="I147" s="7" t="s">
        <v>233</v>
      </c>
      <c r="J147" s="2">
        <v>51</v>
      </c>
      <c r="K147" s="2">
        <v>30</v>
      </c>
      <c r="L147" s="2">
        <v>20</v>
      </c>
      <c r="M147" s="2">
        <f t="shared" si="0"/>
        <v>101</v>
      </c>
      <c r="N147" s="2">
        <v>6</v>
      </c>
      <c r="O147" s="7" t="s">
        <v>79</v>
      </c>
      <c r="P147" s="7" t="s">
        <v>79</v>
      </c>
      <c r="Q147" s="7" t="s">
        <v>79</v>
      </c>
      <c r="R147" s="7" t="s">
        <v>79</v>
      </c>
      <c r="S147" t="s">
        <v>79</v>
      </c>
      <c r="T147" s="7" t="str" cm="1">
        <f t="array" ref="T147">IF(ISNUMBER(MATCH(TRIM(A147)&amp;"", _xlfn._xlws.FILTER(TRIM(Project_Scores!$D$2:$D$300)&amp;"", Project_Scores!$I$2:$I$300=TRUE, ""), 0)), "حاضر", "غائب")</f>
        <v>غائب</v>
      </c>
      <c r="U147" s="2" t="str">
        <f t="shared" si="1"/>
        <v>5 من 6</v>
      </c>
      <c r="V147" s="21">
        <f t="shared" si="2"/>
        <v>0.83333333333333337</v>
      </c>
      <c r="W147" s="2">
        <f t="shared" si="3"/>
        <v>107</v>
      </c>
      <c r="X147" s="2">
        <v>147</v>
      </c>
      <c r="Y147" s="2">
        <f t="shared" si="4"/>
        <v>5</v>
      </c>
      <c r="Z147" s="2">
        <f t="shared" si="5"/>
        <v>6</v>
      </c>
      <c r="AA147">
        <f t="shared" si="8"/>
        <v>152</v>
      </c>
    </row>
    <row r="148" spans="1:27" ht="15.7" customHeight="1" x14ac:dyDescent="0.4">
      <c r="A148" s="2" t="s">
        <v>784</v>
      </c>
      <c r="B148" s="7" t="s">
        <v>783</v>
      </c>
      <c r="C148" s="2" t="s">
        <v>784</v>
      </c>
      <c r="D148" s="2" t="s">
        <v>39</v>
      </c>
      <c r="E148" s="2" t="s">
        <v>1211</v>
      </c>
      <c r="F148" s="2" t="s">
        <v>1212</v>
      </c>
      <c r="G148" s="2" t="s">
        <v>1213</v>
      </c>
      <c r="H148" s="2" t="s">
        <v>1214</v>
      </c>
      <c r="I148" s="7" t="s">
        <v>564</v>
      </c>
      <c r="J148" s="2">
        <v>55</v>
      </c>
      <c r="K148" s="2">
        <v>25</v>
      </c>
      <c r="L148" s="2">
        <v>10</v>
      </c>
      <c r="M148" s="2">
        <f t="shared" si="0"/>
        <v>90</v>
      </c>
      <c r="N148" s="2">
        <v>0</v>
      </c>
      <c r="O148" s="7" t="s">
        <v>79</v>
      </c>
      <c r="P148" s="7" t="s">
        <v>79</v>
      </c>
      <c r="Q148" s="7" t="s">
        <v>113</v>
      </c>
      <c r="R148" s="7" t="s">
        <v>79</v>
      </c>
      <c r="S148" t="s">
        <v>113</v>
      </c>
      <c r="T148" s="7" t="str" cm="1">
        <f t="array" ref="T148">IF(ISNUMBER(MATCH(TRIM(A148)&amp;"", _xlfn._xlws.FILTER(TRIM(Project_Scores!$D$2:$D$300)&amp;"", Project_Scores!$I$2:$I$300=TRUE, ""), 0)), "حاضر", "غائب")</f>
        <v>غائب</v>
      </c>
      <c r="U148" s="2" t="str">
        <f t="shared" si="1"/>
        <v>3 من 6</v>
      </c>
      <c r="V148" s="21">
        <f t="shared" si="2"/>
        <v>0.5</v>
      </c>
      <c r="W148" s="2">
        <f t="shared" si="3"/>
        <v>90</v>
      </c>
      <c r="X148" s="2">
        <v>120</v>
      </c>
      <c r="Y148" s="2">
        <f t="shared" si="4"/>
        <v>3</v>
      </c>
      <c r="Z148" s="2">
        <f t="shared" si="5"/>
        <v>6</v>
      </c>
      <c r="AA148">
        <f t="shared" si="8"/>
        <v>123</v>
      </c>
    </row>
    <row r="149" spans="1:27" ht="15.7" customHeight="1" x14ac:dyDescent="0.4">
      <c r="A149" s="2" t="s">
        <v>283</v>
      </c>
      <c r="B149" s="7" t="s">
        <v>282</v>
      </c>
      <c r="C149" s="2" t="s">
        <v>283</v>
      </c>
      <c r="D149" s="2" t="s">
        <v>105</v>
      </c>
      <c r="E149" s="2" t="s">
        <v>1215</v>
      </c>
      <c r="F149" s="2" t="s">
        <v>807</v>
      </c>
      <c r="G149" s="2" t="s">
        <v>1216</v>
      </c>
      <c r="H149" s="2" t="s">
        <v>806</v>
      </c>
      <c r="I149" s="7" t="s">
        <v>564</v>
      </c>
      <c r="J149" s="2">
        <v>55</v>
      </c>
      <c r="K149" s="2">
        <v>15</v>
      </c>
      <c r="L149" s="2">
        <v>37</v>
      </c>
      <c r="M149" s="2">
        <f t="shared" si="0"/>
        <v>107</v>
      </c>
      <c r="N149" s="2">
        <v>0</v>
      </c>
      <c r="O149" s="7" t="s">
        <v>79</v>
      </c>
      <c r="P149" s="7" t="s">
        <v>79</v>
      </c>
      <c r="Q149" s="7" t="s">
        <v>79</v>
      </c>
      <c r="R149" s="7" t="s">
        <v>79</v>
      </c>
      <c r="S149" t="s">
        <v>79</v>
      </c>
      <c r="T149" s="7" t="str" cm="1">
        <f t="array" ref="T149">IF(ISNUMBER(MATCH(TRIM(A149)&amp;"", _xlfn._xlws.FILTER(TRIM(Project_Scores!$D$2:$D$300)&amp;"", Project_Scores!$I$2:$I$300=TRUE, ""), 0)), "حاضر", "غائب")</f>
        <v>غائب</v>
      </c>
      <c r="U149" s="2" t="str">
        <f t="shared" si="1"/>
        <v>5 من 6</v>
      </c>
      <c r="V149" s="21">
        <f t="shared" si="2"/>
        <v>0.83333333333333337</v>
      </c>
      <c r="W149" s="2">
        <f t="shared" si="3"/>
        <v>107</v>
      </c>
      <c r="X149" s="2">
        <v>147</v>
      </c>
      <c r="Y149" s="2">
        <f t="shared" si="4"/>
        <v>5</v>
      </c>
      <c r="Z149" s="2">
        <f t="shared" si="5"/>
        <v>6</v>
      </c>
      <c r="AA149">
        <f t="shared" si="8"/>
        <v>152</v>
      </c>
    </row>
    <row r="150" spans="1:27" ht="15.7" customHeight="1" x14ac:dyDescent="0.4">
      <c r="A150" s="2" t="s">
        <v>285</v>
      </c>
      <c r="B150" s="7" t="s">
        <v>284</v>
      </c>
      <c r="C150" s="2" t="s">
        <v>285</v>
      </c>
      <c r="D150" s="2" t="s">
        <v>105</v>
      </c>
      <c r="E150" s="2" t="s">
        <v>1217</v>
      </c>
      <c r="F150" s="2" t="s">
        <v>828</v>
      </c>
      <c r="G150" s="2" t="s">
        <v>1218</v>
      </c>
      <c r="H150" s="2" t="s">
        <v>827</v>
      </c>
      <c r="I150" s="7" t="s">
        <v>564</v>
      </c>
      <c r="J150" s="2">
        <v>50</v>
      </c>
      <c r="K150" s="2">
        <v>20</v>
      </c>
      <c r="L150" s="2">
        <v>31</v>
      </c>
      <c r="M150" s="2">
        <f t="shared" si="0"/>
        <v>101</v>
      </c>
      <c r="N150" s="2">
        <v>0</v>
      </c>
      <c r="O150" s="7" t="s">
        <v>79</v>
      </c>
      <c r="P150" s="7" t="s">
        <v>79</v>
      </c>
      <c r="Q150" s="7" t="s">
        <v>79</v>
      </c>
      <c r="R150" s="7" t="s">
        <v>79</v>
      </c>
      <c r="S150" t="s">
        <v>79</v>
      </c>
      <c r="T150" s="7" t="str" cm="1">
        <f t="array" ref="T150">IF(ISNUMBER(MATCH(TRIM(A150)&amp;"", _xlfn._xlws.FILTER(TRIM(Project_Scores!$D$2:$D$300)&amp;"", Project_Scores!$I$2:$I$300=TRUE, ""), 0)), "حاضر", "غائب")</f>
        <v>غائب</v>
      </c>
      <c r="U150" s="2" t="str">
        <f t="shared" si="1"/>
        <v>5 من 6</v>
      </c>
      <c r="V150" s="21">
        <f t="shared" si="2"/>
        <v>0.83333333333333337</v>
      </c>
      <c r="W150" s="2">
        <f t="shared" si="3"/>
        <v>101</v>
      </c>
      <c r="X150" s="2">
        <v>141</v>
      </c>
      <c r="Y150" s="2">
        <f t="shared" si="4"/>
        <v>5</v>
      </c>
      <c r="Z150" s="2">
        <f t="shared" si="5"/>
        <v>6</v>
      </c>
      <c r="AA150">
        <f t="shared" si="8"/>
        <v>146</v>
      </c>
    </row>
    <row r="151" spans="1:27" ht="15.7" customHeight="1" x14ac:dyDescent="0.4">
      <c r="A151" s="2" t="s">
        <v>502</v>
      </c>
      <c r="B151" s="7" t="s">
        <v>1219</v>
      </c>
      <c r="C151" s="2" t="s">
        <v>502</v>
      </c>
      <c r="D151" s="2" t="s">
        <v>39</v>
      </c>
      <c r="E151" s="2" t="s">
        <v>1220</v>
      </c>
      <c r="F151" s="2" t="s">
        <v>1178</v>
      </c>
      <c r="G151" s="2" t="s">
        <v>1221</v>
      </c>
      <c r="H151" s="2" t="s">
        <v>1222</v>
      </c>
      <c r="I151" s="7" t="s">
        <v>199</v>
      </c>
      <c r="J151" s="2">
        <v>30</v>
      </c>
      <c r="K151" s="2">
        <v>19</v>
      </c>
      <c r="L151" s="2">
        <v>15</v>
      </c>
      <c r="M151" s="2">
        <f t="shared" si="0"/>
        <v>64</v>
      </c>
      <c r="N151" s="2">
        <v>5</v>
      </c>
      <c r="O151" s="7" t="s">
        <v>79</v>
      </c>
      <c r="P151" s="7" t="s">
        <v>79</v>
      </c>
      <c r="Q151" s="7" t="s">
        <v>113</v>
      </c>
      <c r="R151" s="7" t="s">
        <v>79</v>
      </c>
      <c r="S151" t="s">
        <v>79</v>
      </c>
      <c r="T151" s="7" t="str" cm="1">
        <f t="array" ref="T151">IF(ISNUMBER(MATCH(TRIM(A151)&amp;"", _xlfn._xlws.FILTER(TRIM(Project_Scores!$D$2:$D$300)&amp;"", Project_Scores!$I$2:$I$300=TRUE, ""), 0)), "حاضر", "غائب")</f>
        <v>غائب</v>
      </c>
      <c r="U151" s="2" t="str">
        <f t="shared" si="1"/>
        <v>4 من 6</v>
      </c>
      <c r="V151" s="21">
        <f t="shared" si="2"/>
        <v>0.66666666666666663</v>
      </c>
      <c r="W151" s="2">
        <f t="shared" si="3"/>
        <v>69</v>
      </c>
      <c r="X151" s="2">
        <v>99</v>
      </c>
      <c r="Y151" s="2">
        <f t="shared" si="4"/>
        <v>4</v>
      </c>
      <c r="Z151" s="2">
        <f t="shared" si="5"/>
        <v>6</v>
      </c>
      <c r="AA151">
        <f t="shared" si="8"/>
        <v>103</v>
      </c>
    </row>
    <row r="152" spans="1:27" ht="15.7" customHeight="1" x14ac:dyDescent="0.4">
      <c r="A152" s="2" t="s">
        <v>293</v>
      </c>
      <c r="B152" s="7" t="s">
        <v>292</v>
      </c>
      <c r="C152" s="2" t="s">
        <v>293</v>
      </c>
      <c r="D152" s="2" t="s">
        <v>105</v>
      </c>
      <c r="E152" s="2" t="s">
        <v>1225</v>
      </c>
      <c r="F152" s="2" t="s">
        <v>875</v>
      </c>
      <c r="G152" s="2" t="s">
        <v>1226</v>
      </c>
      <c r="H152" s="2" t="s">
        <v>874</v>
      </c>
      <c r="I152" s="7" t="s">
        <v>150</v>
      </c>
      <c r="J152" s="2">
        <v>55</v>
      </c>
      <c r="K152" s="2">
        <v>41</v>
      </c>
      <c r="L152" s="2">
        <v>37</v>
      </c>
      <c r="M152" s="2">
        <f t="shared" si="0"/>
        <v>133</v>
      </c>
      <c r="N152" s="2">
        <v>6</v>
      </c>
      <c r="O152" s="7" t="s">
        <v>79</v>
      </c>
      <c r="P152" s="7" t="s">
        <v>79</v>
      </c>
      <c r="Q152" s="7" t="s">
        <v>79</v>
      </c>
      <c r="R152" s="7" t="s">
        <v>79</v>
      </c>
      <c r="S152" t="s">
        <v>79</v>
      </c>
      <c r="T152" s="7" t="str" cm="1">
        <f t="array" ref="T152">IF(ISNUMBER(MATCH(TRIM(A152)&amp;"", _xlfn._xlws.FILTER(TRIM(Project_Scores!$D$2:$D$300)&amp;"", Project_Scores!$I$2:$I$300=TRUE, ""), 0)), "حاضر", "غائب")</f>
        <v>غائب</v>
      </c>
      <c r="U152" s="2" t="str">
        <f t="shared" si="1"/>
        <v>5 من 6</v>
      </c>
      <c r="V152" s="21">
        <f t="shared" si="2"/>
        <v>0.83333333333333337</v>
      </c>
      <c r="W152" s="2">
        <f t="shared" si="3"/>
        <v>139</v>
      </c>
      <c r="X152" s="2">
        <v>179</v>
      </c>
      <c r="Y152" s="2">
        <f t="shared" si="4"/>
        <v>5</v>
      </c>
      <c r="Z152" s="2">
        <f t="shared" si="5"/>
        <v>6</v>
      </c>
      <c r="AA152">
        <f t="shared" si="8"/>
        <v>184</v>
      </c>
    </row>
    <row r="153" spans="1:27" ht="15.7" customHeight="1" x14ac:dyDescent="0.4">
      <c r="A153" s="2" t="s">
        <v>92</v>
      </c>
      <c r="B153" s="7" t="s">
        <v>1227</v>
      </c>
      <c r="C153" s="2" t="s">
        <v>92</v>
      </c>
      <c r="D153" s="2" t="s">
        <v>39</v>
      </c>
      <c r="E153" s="2" t="s">
        <v>1228</v>
      </c>
      <c r="F153" s="2" t="s">
        <v>152</v>
      </c>
      <c r="G153" s="2" t="s">
        <v>1229</v>
      </c>
      <c r="H153" s="2" t="s">
        <v>1230</v>
      </c>
      <c r="I153" s="7" t="s">
        <v>1199</v>
      </c>
      <c r="J153" s="2">
        <v>47.5</v>
      </c>
      <c r="K153" s="2">
        <v>40.5</v>
      </c>
      <c r="L153" s="2">
        <v>35</v>
      </c>
      <c r="M153" s="2">
        <f t="shared" si="0"/>
        <v>123</v>
      </c>
      <c r="N153" s="2">
        <v>2</v>
      </c>
      <c r="O153" s="7" t="s">
        <v>79</v>
      </c>
      <c r="P153" s="7" t="s">
        <v>79</v>
      </c>
      <c r="Q153" s="7" t="s">
        <v>79</v>
      </c>
      <c r="R153" s="7" t="s">
        <v>79</v>
      </c>
      <c r="S153" t="s">
        <v>79</v>
      </c>
      <c r="T153" s="7" t="str" cm="1">
        <f t="array" ref="T153">IF(ISNUMBER(MATCH(TRIM(A153)&amp;"", _xlfn._xlws.FILTER(TRIM(Project_Scores!$D$2:$D$300)&amp;"", Project_Scores!$I$2:$I$300=TRUE, ""), 0)), "حاضر", "غائب")</f>
        <v>غائب</v>
      </c>
      <c r="U153" s="2" t="str">
        <f t="shared" si="1"/>
        <v>5 من 6</v>
      </c>
      <c r="V153" s="21">
        <f t="shared" si="2"/>
        <v>0.83333333333333337</v>
      </c>
      <c r="W153" s="2">
        <f t="shared" si="3"/>
        <v>125</v>
      </c>
      <c r="X153" s="2">
        <v>165</v>
      </c>
      <c r="Y153" s="2">
        <f t="shared" si="4"/>
        <v>5</v>
      </c>
      <c r="Z153" s="2">
        <f t="shared" si="5"/>
        <v>6</v>
      </c>
      <c r="AA153">
        <f t="shared" si="8"/>
        <v>170</v>
      </c>
    </row>
    <row r="154" spans="1:27" ht="15.7" customHeight="1" x14ac:dyDescent="0.4">
      <c r="A154" s="2" t="s">
        <v>1231</v>
      </c>
      <c r="B154" s="7" t="s">
        <v>1232</v>
      </c>
      <c r="C154" s="2" t="s">
        <v>1231</v>
      </c>
      <c r="D154" s="2" t="s">
        <v>1233</v>
      </c>
      <c r="E154" s="2" t="s">
        <v>417</v>
      </c>
      <c r="F154" s="2" t="s">
        <v>1234</v>
      </c>
      <c r="G154" s="2" t="s">
        <v>1235</v>
      </c>
      <c r="H154" s="2" t="s">
        <v>1236</v>
      </c>
      <c r="I154" s="7" t="s">
        <v>1199</v>
      </c>
      <c r="J154" s="2">
        <v>0</v>
      </c>
      <c r="K154" s="2">
        <v>0</v>
      </c>
      <c r="L154" s="2">
        <v>0</v>
      </c>
      <c r="M154" s="2">
        <f t="shared" si="0"/>
        <v>0</v>
      </c>
      <c r="N154" s="2">
        <v>0</v>
      </c>
      <c r="O154" s="7" t="s">
        <v>113</v>
      </c>
      <c r="P154" s="7" t="s">
        <v>113</v>
      </c>
      <c r="Q154" s="7" t="s">
        <v>113</v>
      </c>
      <c r="R154" s="7" t="s">
        <v>113</v>
      </c>
      <c r="S154" t="s">
        <v>113</v>
      </c>
      <c r="T154" s="7" t="str" cm="1">
        <f t="array" ref="T154">IF(ISNUMBER(MATCH(TRIM(A154)&amp;"", _xlfn._xlws.FILTER(TRIM(Project_Scores!$D$2:$D$300)&amp;"", Project_Scores!$I$2:$I$300=TRUE, ""), 0)), "حاضر", "غائب")</f>
        <v>غائب</v>
      </c>
      <c r="U154" s="2" t="str">
        <f t="shared" si="1"/>
        <v>0 من 6</v>
      </c>
      <c r="V154" s="21">
        <f t="shared" si="2"/>
        <v>0</v>
      </c>
      <c r="W154" s="2">
        <f t="shared" si="3"/>
        <v>0</v>
      </c>
      <c r="X154" s="2">
        <v>0</v>
      </c>
      <c r="Y154" s="2">
        <f t="shared" si="4"/>
        <v>0</v>
      </c>
      <c r="Z154" s="2">
        <f t="shared" si="5"/>
        <v>6</v>
      </c>
      <c r="AA154">
        <f t="shared" si="8"/>
        <v>0</v>
      </c>
    </row>
    <row r="155" spans="1:27" ht="15.7" customHeight="1" x14ac:dyDescent="0.4">
      <c r="A155" s="2" t="s">
        <v>799</v>
      </c>
      <c r="B155" s="7" t="s">
        <v>798</v>
      </c>
      <c r="C155" s="2" t="s">
        <v>799</v>
      </c>
      <c r="D155" s="2" t="s">
        <v>137</v>
      </c>
      <c r="E155" s="2" t="s">
        <v>177</v>
      </c>
      <c r="F155" s="2" t="s">
        <v>1237</v>
      </c>
      <c r="G155" s="2" t="s">
        <v>1238</v>
      </c>
      <c r="H155" s="2" t="s">
        <v>1239</v>
      </c>
      <c r="I155" s="7" t="s">
        <v>1199</v>
      </c>
      <c r="J155" s="2">
        <v>0</v>
      </c>
      <c r="K155" s="2">
        <v>35</v>
      </c>
      <c r="L155" s="2">
        <v>14.5</v>
      </c>
      <c r="M155" s="2">
        <f t="shared" si="0"/>
        <v>49.5</v>
      </c>
      <c r="N155" s="2">
        <v>0</v>
      </c>
      <c r="O155" s="7" t="s">
        <v>79</v>
      </c>
      <c r="P155" s="7" t="s">
        <v>79</v>
      </c>
      <c r="Q155" s="7" t="s">
        <v>79</v>
      </c>
      <c r="R155" s="7" t="s">
        <v>79</v>
      </c>
      <c r="S155" t="s">
        <v>79</v>
      </c>
      <c r="T155" s="7" t="str" cm="1">
        <f t="array" ref="T155">IF(ISNUMBER(MATCH(TRIM(A155)&amp;"", _xlfn._xlws.FILTER(TRIM(Project_Scores!$D$2:$D$300)&amp;"", Project_Scores!$I$2:$I$300=TRUE, ""), 0)), "حاضر", "غائب")</f>
        <v>غائب</v>
      </c>
      <c r="U155" s="2" t="str">
        <f t="shared" si="1"/>
        <v>5 من 6</v>
      </c>
      <c r="V155" s="21">
        <f t="shared" si="2"/>
        <v>0.83333333333333337</v>
      </c>
      <c r="W155" s="2">
        <f t="shared" si="3"/>
        <v>49.5</v>
      </c>
      <c r="X155" s="2">
        <v>89.5</v>
      </c>
      <c r="Y155" s="2">
        <f t="shared" si="4"/>
        <v>5</v>
      </c>
      <c r="Z155" s="2">
        <f t="shared" si="5"/>
        <v>6</v>
      </c>
      <c r="AA155">
        <f t="shared" si="8"/>
        <v>94.5</v>
      </c>
    </row>
    <row r="156" spans="1:27" ht="15.7" customHeight="1" x14ac:dyDescent="0.4">
      <c r="A156" s="2" t="s">
        <v>387</v>
      </c>
      <c r="B156" s="7" t="s">
        <v>1240</v>
      </c>
      <c r="C156" s="2" t="s">
        <v>387</v>
      </c>
      <c r="D156" s="2" t="s">
        <v>105</v>
      </c>
      <c r="E156" s="2" t="s">
        <v>1241</v>
      </c>
      <c r="F156" s="2" t="s">
        <v>1019</v>
      </c>
      <c r="G156" s="2" t="s">
        <v>1242</v>
      </c>
      <c r="H156" s="2" t="s">
        <v>1018</v>
      </c>
      <c r="I156" s="7" t="s">
        <v>1199</v>
      </c>
      <c r="J156" s="2">
        <v>51</v>
      </c>
      <c r="K156" s="2">
        <v>39</v>
      </c>
      <c r="L156" s="2">
        <v>30</v>
      </c>
      <c r="M156" s="2">
        <f t="shared" si="0"/>
        <v>120</v>
      </c>
      <c r="N156" s="2">
        <v>0</v>
      </c>
      <c r="O156" s="7" t="s">
        <v>79</v>
      </c>
      <c r="P156" s="7" t="s">
        <v>79</v>
      </c>
      <c r="Q156" s="7" t="s">
        <v>79</v>
      </c>
      <c r="R156" s="7" t="s">
        <v>113</v>
      </c>
      <c r="S156" t="s">
        <v>79</v>
      </c>
      <c r="T156" s="7" t="str" cm="1">
        <f t="array" ref="T156">IF(ISNUMBER(MATCH(TRIM(A156)&amp;"", _xlfn._xlws.FILTER(TRIM(Project_Scores!$D$2:$D$300)&amp;"", Project_Scores!$I$2:$I$300=TRUE, ""), 0)), "حاضر", "غائب")</f>
        <v>غائب</v>
      </c>
      <c r="U156" s="2" t="str">
        <f t="shared" si="1"/>
        <v>4 من 6</v>
      </c>
      <c r="V156" s="21">
        <f t="shared" si="2"/>
        <v>0.66666666666666663</v>
      </c>
      <c r="W156" s="2">
        <f t="shared" si="3"/>
        <v>120</v>
      </c>
      <c r="X156" s="2">
        <v>150</v>
      </c>
      <c r="Y156" s="2">
        <f t="shared" si="4"/>
        <v>4</v>
      </c>
      <c r="Z156" s="2">
        <f t="shared" si="5"/>
        <v>6</v>
      </c>
      <c r="AA156">
        <f t="shared" si="8"/>
        <v>154</v>
      </c>
    </row>
    <row r="157" spans="1:27" ht="15.7" customHeight="1" x14ac:dyDescent="0.4">
      <c r="A157" s="2" t="s">
        <v>535</v>
      </c>
      <c r="B157" s="7" t="s">
        <v>1243</v>
      </c>
      <c r="C157" s="2" t="s">
        <v>535</v>
      </c>
      <c r="D157" s="2" t="s">
        <v>39</v>
      </c>
      <c r="E157" s="2" t="s">
        <v>1244</v>
      </c>
      <c r="F157" s="2" t="s">
        <v>1224</v>
      </c>
      <c r="G157" s="2" t="s">
        <v>1245</v>
      </c>
      <c r="H157" s="2" t="s">
        <v>1223</v>
      </c>
      <c r="I157" s="7" t="s">
        <v>208</v>
      </c>
      <c r="J157" s="2">
        <v>39.5</v>
      </c>
      <c r="K157" s="2">
        <v>30</v>
      </c>
      <c r="L157" s="2">
        <v>15</v>
      </c>
      <c r="M157" s="2">
        <f t="shared" si="0"/>
        <v>84.5</v>
      </c>
      <c r="N157" s="2">
        <v>5</v>
      </c>
      <c r="O157" s="7" t="s">
        <v>79</v>
      </c>
      <c r="P157" s="7" t="s">
        <v>79</v>
      </c>
      <c r="Q157" s="7" t="s">
        <v>79</v>
      </c>
      <c r="R157" s="7" t="s">
        <v>79</v>
      </c>
      <c r="S157" t="s">
        <v>79</v>
      </c>
      <c r="T157" s="7" t="str" cm="1">
        <f t="array" ref="T157">IF(ISNUMBER(MATCH(TRIM(A157)&amp;"", _xlfn._xlws.FILTER(TRIM(Project_Scores!$D$2:$D$300)&amp;"", Project_Scores!$I$2:$I$300=TRUE, ""), 0)), "حاضر", "غائب")</f>
        <v>غائب</v>
      </c>
      <c r="U157" s="2" t="str">
        <f t="shared" si="1"/>
        <v>5 من 6</v>
      </c>
      <c r="V157" s="21">
        <f t="shared" si="2"/>
        <v>0.83333333333333337</v>
      </c>
      <c r="W157" s="2">
        <f t="shared" si="3"/>
        <v>89.5</v>
      </c>
      <c r="X157" s="2">
        <v>129.5</v>
      </c>
      <c r="Y157" s="2">
        <f t="shared" si="4"/>
        <v>5</v>
      </c>
      <c r="Z157" s="2">
        <f t="shared" si="5"/>
        <v>6</v>
      </c>
      <c r="AA157">
        <f t="shared" si="8"/>
        <v>134.5</v>
      </c>
    </row>
    <row r="158" spans="1:27" ht="15.7" customHeight="1" x14ac:dyDescent="0.4">
      <c r="A158" s="2" t="s">
        <v>1246</v>
      </c>
      <c r="B158" s="7" t="s">
        <v>1247</v>
      </c>
      <c r="C158" s="2" t="s">
        <v>1246</v>
      </c>
      <c r="D158" s="2" t="s">
        <v>105</v>
      </c>
      <c r="E158" s="2" t="s">
        <v>1248</v>
      </c>
      <c r="F158" s="2" t="s">
        <v>1249</v>
      </c>
      <c r="G158" s="2" t="s">
        <v>1250</v>
      </c>
      <c r="H158" s="2" t="s">
        <v>1251</v>
      </c>
      <c r="I158" s="7" t="s">
        <v>1199</v>
      </c>
      <c r="J158" s="2">
        <v>0</v>
      </c>
      <c r="K158" s="2">
        <v>0</v>
      </c>
      <c r="L158" s="2">
        <v>0</v>
      </c>
      <c r="M158" s="2">
        <f t="shared" si="0"/>
        <v>0</v>
      </c>
      <c r="N158" s="2">
        <v>0</v>
      </c>
      <c r="O158" s="7" t="s">
        <v>113</v>
      </c>
      <c r="P158" s="7" t="s">
        <v>113</v>
      </c>
      <c r="Q158" s="7" t="s">
        <v>113</v>
      </c>
      <c r="R158" s="7" t="s">
        <v>113</v>
      </c>
      <c r="S158" t="s">
        <v>113</v>
      </c>
      <c r="T158" s="7" t="str" cm="1">
        <f t="array" ref="T158">IF(ISNUMBER(MATCH(TRIM(A158)&amp;"", _xlfn._xlws.FILTER(TRIM(Project_Scores!$D$2:$D$300)&amp;"", Project_Scores!$I$2:$I$300=TRUE, ""), 0)), "حاضر", "غائب")</f>
        <v>غائب</v>
      </c>
      <c r="U158" s="2" t="str">
        <f t="shared" si="1"/>
        <v>0 من 6</v>
      </c>
      <c r="V158" s="21">
        <f t="shared" si="2"/>
        <v>0</v>
      </c>
      <c r="W158" s="2">
        <f t="shared" si="3"/>
        <v>0</v>
      </c>
      <c r="X158" s="2">
        <v>0</v>
      </c>
      <c r="Y158" s="2">
        <f t="shared" si="4"/>
        <v>0</v>
      </c>
      <c r="Z158" s="2">
        <f t="shared" si="5"/>
        <v>6</v>
      </c>
      <c r="AA158">
        <f t="shared" si="8"/>
        <v>0</v>
      </c>
    </row>
    <row r="159" spans="1:27" ht="15.7" customHeight="1" x14ac:dyDescent="0.4">
      <c r="A159" s="2" t="s">
        <v>739</v>
      </c>
      <c r="B159" s="7" t="s">
        <v>738</v>
      </c>
      <c r="C159" s="2" t="s">
        <v>739</v>
      </c>
      <c r="D159" s="2" t="s">
        <v>105</v>
      </c>
      <c r="E159" s="2" t="s">
        <v>1252</v>
      </c>
      <c r="F159" s="2" t="s">
        <v>1253</v>
      </c>
      <c r="G159" s="2" t="s">
        <v>1254</v>
      </c>
      <c r="H159" s="2" t="s">
        <v>1255</v>
      </c>
      <c r="I159" s="7" t="s">
        <v>1199</v>
      </c>
      <c r="J159" s="2">
        <v>30</v>
      </c>
      <c r="K159" s="2">
        <v>0</v>
      </c>
      <c r="L159" s="2">
        <v>0</v>
      </c>
      <c r="M159" s="2">
        <f t="shared" si="0"/>
        <v>30</v>
      </c>
      <c r="N159" s="2">
        <v>0</v>
      </c>
      <c r="O159" s="7" t="s">
        <v>79</v>
      </c>
      <c r="P159" s="7" t="s">
        <v>79</v>
      </c>
      <c r="Q159" s="7" t="s">
        <v>79</v>
      </c>
      <c r="R159" s="7" t="s">
        <v>79</v>
      </c>
      <c r="S159" t="s">
        <v>79</v>
      </c>
      <c r="T159" s="7" t="str" cm="1">
        <f t="array" ref="T159">IF(ISNUMBER(MATCH(TRIM(A159)&amp;"", _xlfn._xlws.FILTER(TRIM(Project_Scores!$D$2:$D$300)&amp;"", Project_Scores!$I$2:$I$300=TRUE, ""), 0)), "حاضر", "غائب")</f>
        <v>غائب</v>
      </c>
      <c r="U159" s="2" t="str">
        <f t="shared" si="1"/>
        <v>5 من 6</v>
      </c>
      <c r="V159" s="21">
        <f t="shared" si="2"/>
        <v>0.83333333333333337</v>
      </c>
      <c r="W159" s="2">
        <f t="shared" si="3"/>
        <v>30</v>
      </c>
      <c r="X159" s="2">
        <v>70</v>
      </c>
      <c r="Y159" s="2">
        <f t="shared" si="4"/>
        <v>5</v>
      </c>
      <c r="Z159" s="2">
        <f t="shared" si="5"/>
        <v>6</v>
      </c>
      <c r="AA159">
        <f t="shared" si="8"/>
        <v>75</v>
      </c>
    </row>
    <row r="160" spans="1:27" ht="15.7" customHeight="1" x14ac:dyDescent="0.4">
      <c r="A160" s="2" t="s">
        <v>1256</v>
      </c>
      <c r="B160" s="7" t="s">
        <v>1257</v>
      </c>
      <c r="C160" s="2" t="s">
        <v>1256</v>
      </c>
      <c r="D160" s="2" t="s">
        <v>105</v>
      </c>
      <c r="E160" s="2" t="s">
        <v>558</v>
      </c>
      <c r="F160" s="2" t="s">
        <v>1258</v>
      </c>
      <c r="G160" s="2" t="s">
        <v>1259</v>
      </c>
      <c r="H160" s="2" t="s">
        <v>1260</v>
      </c>
      <c r="I160" s="7" t="s">
        <v>1199</v>
      </c>
      <c r="J160" s="2">
        <v>0</v>
      </c>
      <c r="K160" s="2">
        <v>0</v>
      </c>
      <c r="L160" s="2">
        <v>0</v>
      </c>
      <c r="M160" s="2">
        <f t="shared" si="0"/>
        <v>0</v>
      </c>
      <c r="N160" s="2">
        <v>0</v>
      </c>
      <c r="O160" s="7" t="s">
        <v>113</v>
      </c>
      <c r="P160" s="7" t="s">
        <v>113</v>
      </c>
      <c r="Q160" s="7" t="s">
        <v>113</v>
      </c>
      <c r="R160" s="7" t="s">
        <v>113</v>
      </c>
      <c r="S160" t="s">
        <v>113</v>
      </c>
      <c r="T160" s="7" t="str" cm="1">
        <f t="array" ref="T160">IF(ISNUMBER(MATCH(TRIM(A160)&amp;"", _xlfn._xlws.FILTER(TRIM(Project_Scores!$D$2:$D$300)&amp;"", Project_Scores!$I$2:$I$300=TRUE, ""), 0)), "حاضر", "غائب")</f>
        <v>غائب</v>
      </c>
      <c r="U160" s="2" t="str">
        <f t="shared" si="1"/>
        <v>0 من 6</v>
      </c>
      <c r="V160" s="21">
        <f t="shared" si="2"/>
        <v>0</v>
      </c>
      <c r="W160" s="2">
        <f t="shared" si="3"/>
        <v>0</v>
      </c>
      <c r="X160" s="2">
        <v>0</v>
      </c>
      <c r="Y160" s="2">
        <f t="shared" si="4"/>
        <v>0</v>
      </c>
      <c r="Z160" s="2">
        <f t="shared" si="5"/>
        <v>6</v>
      </c>
      <c r="AA160">
        <f t="shared" si="8"/>
        <v>0</v>
      </c>
    </row>
    <row r="161" spans="1:27" ht="15.7" customHeight="1" x14ac:dyDescent="0.4">
      <c r="A161" s="2" t="s">
        <v>484</v>
      </c>
      <c r="B161" s="7" t="s">
        <v>482</v>
      </c>
      <c r="C161" s="2" t="s">
        <v>484</v>
      </c>
      <c r="D161" s="2" t="s">
        <v>39</v>
      </c>
      <c r="E161" s="2" t="s">
        <v>1261</v>
      </c>
      <c r="F161" s="2" t="s">
        <v>1165</v>
      </c>
      <c r="G161" s="2" t="s">
        <v>1262</v>
      </c>
      <c r="H161" s="2" t="s">
        <v>1164</v>
      </c>
      <c r="I161" s="7" t="s">
        <v>1199</v>
      </c>
      <c r="J161" s="2">
        <v>55</v>
      </c>
      <c r="K161" s="2">
        <v>28</v>
      </c>
      <c r="L161" s="2">
        <v>13</v>
      </c>
      <c r="M161" s="2">
        <f t="shared" si="0"/>
        <v>96</v>
      </c>
      <c r="N161" s="2">
        <v>3</v>
      </c>
      <c r="O161" s="7" t="s">
        <v>79</v>
      </c>
      <c r="P161" s="7" t="s">
        <v>79</v>
      </c>
      <c r="Q161" s="7" t="s">
        <v>79</v>
      </c>
      <c r="R161" s="7" t="s">
        <v>79</v>
      </c>
      <c r="S161" t="s">
        <v>79</v>
      </c>
      <c r="T161" s="7" t="str" cm="1">
        <f t="array" ref="T161">IF(ISNUMBER(MATCH(TRIM(A161)&amp;"", _xlfn._xlws.FILTER(TRIM(Project_Scores!$D$2:$D$300)&amp;"", Project_Scores!$I$2:$I$300=TRUE, ""), 0)), "حاضر", "غائب")</f>
        <v>غائب</v>
      </c>
      <c r="U161" s="2" t="str">
        <f t="shared" si="1"/>
        <v>5 من 6</v>
      </c>
      <c r="V161" s="21">
        <f t="shared" si="2"/>
        <v>0.83333333333333337</v>
      </c>
      <c r="W161" s="2">
        <f t="shared" si="3"/>
        <v>99</v>
      </c>
      <c r="X161" s="2">
        <v>139</v>
      </c>
      <c r="Y161" s="2">
        <f t="shared" si="4"/>
        <v>5</v>
      </c>
      <c r="Z161" s="2">
        <f t="shared" si="5"/>
        <v>6</v>
      </c>
      <c r="AA161">
        <f t="shared" si="8"/>
        <v>144</v>
      </c>
    </row>
    <row r="162" spans="1:27" ht="15.7" customHeight="1" x14ac:dyDescent="0.4">
      <c r="A162" s="2" t="s">
        <v>1263</v>
      </c>
      <c r="B162" s="7" t="s">
        <v>1264</v>
      </c>
      <c r="C162" s="2" t="s">
        <v>1263</v>
      </c>
      <c r="D162" s="2" t="s">
        <v>137</v>
      </c>
      <c r="E162" s="2" t="s">
        <v>558</v>
      </c>
      <c r="F162" s="2" t="s">
        <v>1265</v>
      </c>
      <c r="G162" s="2" t="s">
        <v>1266</v>
      </c>
      <c r="H162" s="2" t="s">
        <v>1267</v>
      </c>
      <c r="I162" s="7" t="s">
        <v>564</v>
      </c>
      <c r="J162" s="2">
        <v>0</v>
      </c>
      <c r="K162" s="2">
        <v>0</v>
      </c>
      <c r="L162" s="2">
        <v>0</v>
      </c>
      <c r="M162" s="2">
        <f t="shared" si="0"/>
        <v>0</v>
      </c>
      <c r="N162" s="2">
        <v>0</v>
      </c>
      <c r="O162" s="7" t="s">
        <v>113</v>
      </c>
      <c r="P162" s="7" t="s">
        <v>113</v>
      </c>
      <c r="Q162" s="7" t="s">
        <v>113</v>
      </c>
      <c r="R162" s="7" t="s">
        <v>113</v>
      </c>
      <c r="S162" t="s">
        <v>113</v>
      </c>
      <c r="T162" s="7" t="str" cm="1">
        <f t="array" ref="T162">IF(ISNUMBER(MATCH(TRIM(A162)&amp;"", _xlfn._xlws.FILTER(TRIM(Project_Scores!$D$2:$D$300)&amp;"", Project_Scores!$I$2:$I$300=TRUE, ""), 0)), "حاضر", "غائب")</f>
        <v>غائب</v>
      </c>
      <c r="U162" s="2" t="str">
        <f t="shared" si="1"/>
        <v>0 من 6</v>
      </c>
      <c r="V162" s="21">
        <f t="shared" si="2"/>
        <v>0</v>
      </c>
      <c r="W162" s="2">
        <f t="shared" si="3"/>
        <v>0</v>
      </c>
      <c r="X162" s="2">
        <v>0</v>
      </c>
      <c r="Y162" s="2">
        <f t="shared" si="4"/>
        <v>0</v>
      </c>
      <c r="Z162" s="2">
        <f t="shared" si="5"/>
        <v>6</v>
      </c>
      <c r="AA162">
        <f t="shared" si="8"/>
        <v>0</v>
      </c>
    </row>
    <row r="163" spans="1:27" ht="15.7" customHeight="1" x14ac:dyDescent="0.4">
      <c r="A163" s="2" t="s">
        <v>763</v>
      </c>
      <c r="B163" s="7" t="s">
        <v>762</v>
      </c>
      <c r="C163" s="2" t="s">
        <v>763</v>
      </c>
      <c r="D163" s="2" t="s">
        <v>105</v>
      </c>
      <c r="E163" s="2" t="s">
        <v>1268</v>
      </c>
      <c r="F163" s="2" t="s">
        <v>1269</v>
      </c>
      <c r="G163" s="2" t="s">
        <v>1270</v>
      </c>
      <c r="H163" s="2" t="s">
        <v>1271</v>
      </c>
      <c r="I163" s="7" t="s">
        <v>844</v>
      </c>
      <c r="J163" s="2">
        <v>40</v>
      </c>
      <c r="K163" s="2">
        <v>40</v>
      </c>
      <c r="L163" s="2">
        <v>15</v>
      </c>
      <c r="M163" s="2">
        <f t="shared" si="0"/>
        <v>95</v>
      </c>
      <c r="N163" s="2">
        <v>0</v>
      </c>
      <c r="O163" s="7" t="s">
        <v>79</v>
      </c>
      <c r="P163" s="7" t="s">
        <v>79</v>
      </c>
      <c r="Q163" s="7" t="s">
        <v>79</v>
      </c>
      <c r="R163" s="7" t="s">
        <v>113</v>
      </c>
      <c r="S163" t="s">
        <v>79</v>
      </c>
      <c r="T163" s="7" t="str" cm="1">
        <f t="array" ref="T163">IF(ISNUMBER(MATCH(TRIM(A163)&amp;"", _xlfn._xlws.FILTER(TRIM(Project_Scores!$D$2:$D$300)&amp;"", Project_Scores!$I$2:$I$300=TRUE, ""), 0)), "حاضر", "غائب")</f>
        <v>غائب</v>
      </c>
      <c r="U163" s="2" t="str">
        <f t="shared" si="1"/>
        <v>4 من 6</v>
      </c>
      <c r="V163" s="21">
        <f t="shared" si="2"/>
        <v>0.66666666666666663</v>
      </c>
      <c r="W163" s="2">
        <f t="shared" si="3"/>
        <v>95</v>
      </c>
      <c r="X163" s="2">
        <v>125</v>
      </c>
      <c r="Y163" s="2">
        <f t="shared" si="4"/>
        <v>4</v>
      </c>
      <c r="Z163" s="2">
        <f t="shared" si="5"/>
        <v>6</v>
      </c>
      <c r="AA163">
        <f t="shared" si="8"/>
        <v>129</v>
      </c>
    </row>
    <row r="164" spans="1:27" ht="15.7" customHeight="1" x14ac:dyDescent="0.4">
      <c r="A164" s="2" t="s">
        <v>134</v>
      </c>
      <c r="B164" s="7" t="s">
        <v>133</v>
      </c>
      <c r="C164" s="2" t="s">
        <v>134</v>
      </c>
      <c r="D164" s="2" t="s">
        <v>39</v>
      </c>
      <c r="E164" s="2" t="s">
        <v>1272</v>
      </c>
      <c r="F164" s="2" t="s">
        <v>263</v>
      </c>
      <c r="G164" s="2" t="s">
        <v>1273</v>
      </c>
      <c r="H164" s="2" t="s">
        <v>1274</v>
      </c>
      <c r="I164" s="7" t="s">
        <v>483</v>
      </c>
      <c r="J164" s="2">
        <v>55</v>
      </c>
      <c r="K164" s="2">
        <v>45</v>
      </c>
      <c r="L164" s="2">
        <v>35</v>
      </c>
      <c r="M164" s="2">
        <f t="shared" si="0"/>
        <v>135</v>
      </c>
      <c r="N164" s="2">
        <v>0</v>
      </c>
      <c r="O164" s="7" t="s">
        <v>79</v>
      </c>
      <c r="P164" s="7" t="s">
        <v>79</v>
      </c>
      <c r="Q164" s="7" t="s">
        <v>79</v>
      </c>
      <c r="R164" s="7" t="s">
        <v>79</v>
      </c>
      <c r="S164" t="s">
        <v>79</v>
      </c>
      <c r="T164" s="7" t="str" cm="1">
        <f t="array" ref="T164">IF(ISNUMBER(MATCH(TRIM(A164)&amp;"", _xlfn._xlws.FILTER(TRIM(Project_Scores!$D$2:$D$300)&amp;"", Project_Scores!$I$2:$I$300=TRUE, ""), 0)), "حاضر", "غائب")</f>
        <v>غائب</v>
      </c>
      <c r="U164" s="2" t="str">
        <f t="shared" si="1"/>
        <v>5 من 6</v>
      </c>
      <c r="V164" s="21">
        <f t="shared" si="2"/>
        <v>0.83333333333333337</v>
      </c>
      <c r="W164" s="2">
        <f t="shared" si="3"/>
        <v>135</v>
      </c>
      <c r="X164" s="2">
        <v>175</v>
      </c>
      <c r="Y164" s="2">
        <f t="shared" si="4"/>
        <v>5</v>
      </c>
      <c r="Z164" s="2">
        <f t="shared" si="5"/>
        <v>6</v>
      </c>
      <c r="AA164">
        <f t="shared" si="8"/>
        <v>180</v>
      </c>
    </row>
    <row r="165" spans="1:27" ht="15.7" customHeight="1" x14ac:dyDescent="0.4">
      <c r="A165" s="2" t="s">
        <v>126</v>
      </c>
      <c r="B165" s="7" t="s">
        <v>1275</v>
      </c>
      <c r="C165" s="2" t="s">
        <v>126</v>
      </c>
      <c r="D165" s="2" t="s">
        <v>39</v>
      </c>
      <c r="E165" s="2" t="s">
        <v>1276</v>
      </c>
      <c r="F165" s="2" t="s">
        <v>247</v>
      </c>
      <c r="G165" s="2" t="s">
        <v>1277</v>
      </c>
      <c r="H165" s="2" t="s">
        <v>246</v>
      </c>
      <c r="I165" s="7" t="s">
        <v>1199</v>
      </c>
      <c r="J165" s="2">
        <v>40</v>
      </c>
      <c r="K165" s="2">
        <v>43</v>
      </c>
      <c r="L165" s="2">
        <v>33</v>
      </c>
      <c r="M165" s="2">
        <f t="shared" si="0"/>
        <v>116</v>
      </c>
      <c r="N165" s="2">
        <v>0</v>
      </c>
      <c r="O165" s="7" t="s">
        <v>79</v>
      </c>
      <c r="P165" s="7" t="s">
        <v>79</v>
      </c>
      <c r="Q165" s="7" t="s">
        <v>79</v>
      </c>
      <c r="R165" s="7" t="s">
        <v>79</v>
      </c>
      <c r="S165" t="s">
        <v>79</v>
      </c>
      <c r="T165" s="7" t="str" cm="1">
        <f t="array" ref="T165">IF(ISNUMBER(MATCH(TRIM(A165)&amp;"", _xlfn._xlws.FILTER(TRIM(Project_Scores!$D$2:$D$300)&amp;"", Project_Scores!$I$2:$I$300=TRUE, ""), 0)), "حاضر", "غائب")</f>
        <v>غائب</v>
      </c>
      <c r="U165" s="2" t="str">
        <f t="shared" si="1"/>
        <v>5 من 6</v>
      </c>
      <c r="V165" s="21">
        <f t="shared" si="2"/>
        <v>0.83333333333333337</v>
      </c>
      <c r="W165" s="2">
        <f t="shared" si="3"/>
        <v>116</v>
      </c>
      <c r="X165" s="2">
        <v>156</v>
      </c>
      <c r="Y165" s="2">
        <f t="shared" si="4"/>
        <v>5</v>
      </c>
      <c r="Z165" s="2">
        <f t="shared" si="5"/>
        <v>6</v>
      </c>
      <c r="AA165">
        <f t="shared" si="8"/>
        <v>161</v>
      </c>
    </row>
    <row r="166" spans="1:27" ht="15.7" customHeight="1" x14ac:dyDescent="0.4">
      <c r="A166" s="2" t="s">
        <v>797</v>
      </c>
      <c r="B166" s="7" t="s">
        <v>796</v>
      </c>
      <c r="C166" s="2" t="s">
        <v>797</v>
      </c>
      <c r="D166" s="2" t="s">
        <v>1278</v>
      </c>
      <c r="E166" s="2" t="s">
        <v>177</v>
      </c>
      <c r="F166" s="2" t="s">
        <v>1279</v>
      </c>
      <c r="G166" s="2" t="s">
        <v>1280</v>
      </c>
      <c r="H166" s="2" t="s">
        <v>1281</v>
      </c>
      <c r="I166" s="7" t="s">
        <v>160</v>
      </c>
      <c r="J166" s="2">
        <v>40</v>
      </c>
      <c r="K166" s="2">
        <v>40</v>
      </c>
      <c r="L166" s="2">
        <v>15</v>
      </c>
      <c r="M166" s="2">
        <f t="shared" si="0"/>
        <v>95</v>
      </c>
      <c r="N166" s="2">
        <v>0</v>
      </c>
      <c r="O166" s="7" t="s">
        <v>79</v>
      </c>
      <c r="P166" s="7" t="s">
        <v>162</v>
      </c>
      <c r="Q166" s="7" t="s">
        <v>79</v>
      </c>
      <c r="R166" s="7" t="s">
        <v>79</v>
      </c>
      <c r="S166" t="s">
        <v>79</v>
      </c>
      <c r="T166" s="7" t="str" cm="1">
        <f t="array" ref="T166">IF(ISNUMBER(MATCH(TRIM(A166)&amp;"", _xlfn._xlws.FILTER(TRIM(Project_Scores!$D$2:$D$300)&amp;"", Project_Scores!$I$2:$I$300=TRUE, ""), 0)), "حاضر", "غائب")</f>
        <v>غائب</v>
      </c>
      <c r="U166" s="2" t="str">
        <f t="shared" si="1"/>
        <v>4 من 6</v>
      </c>
      <c r="V166" s="21">
        <f t="shared" si="2"/>
        <v>0.66666666666666663</v>
      </c>
      <c r="W166" s="2">
        <f t="shared" si="3"/>
        <v>95</v>
      </c>
      <c r="X166" s="2">
        <v>125</v>
      </c>
      <c r="Y166" s="2">
        <f t="shared" si="4"/>
        <v>4</v>
      </c>
      <c r="Z166" s="2">
        <f t="shared" si="5"/>
        <v>6</v>
      </c>
      <c r="AA166">
        <f t="shared" si="8"/>
        <v>129.5</v>
      </c>
    </row>
    <row r="167" spans="1:27" ht="15.7" customHeight="1" x14ac:dyDescent="0.4">
      <c r="A167" s="2" t="s">
        <v>1282</v>
      </c>
      <c r="B167" s="7" t="s">
        <v>1283</v>
      </c>
      <c r="C167" s="2" t="s">
        <v>1282</v>
      </c>
      <c r="D167" s="2" t="s">
        <v>105</v>
      </c>
      <c r="E167" s="2" t="s">
        <v>1284</v>
      </c>
      <c r="F167" s="2" t="s">
        <v>1285</v>
      </c>
      <c r="G167" s="2" t="s">
        <v>1286</v>
      </c>
      <c r="H167" s="2" t="s">
        <v>1287</v>
      </c>
      <c r="I167" s="7" t="s">
        <v>53</v>
      </c>
      <c r="J167" s="2">
        <v>0</v>
      </c>
      <c r="K167" s="2">
        <v>0</v>
      </c>
      <c r="L167" s="2">
        <v>0</v>
      </c>
      <c r="M167" s="2">
        <f t="shared" si="0"/>
        <v>0</v>
      </c>
      <c r="N167" s="2">
        <v>0</v>
      </c>
      <c r="O167" s="7" t="s">
        <v>113</v>
      </c>
      <c r="P167" s="7" t="s">
        <v>113</v>
      </c>
      <c r="Q167" s="7" t="s">
        <v>113</v>
      </c>
      <c r="R167" s="7" t="s">
        <v>113</v>
      </c>
      <c r="S167" t="s">
        <v>113</v>
      </c>
      <c r="T167" s="7" t="str" cm="1">
        <f t="array" ref="T167">IF(ISNUMBER(MATCH(TRIM(A167)&amp;"", _xlfn._xlws.FILTER(TRIM(Project_Scores!$D$2:$D$300)&amp;"", Project_Scores!$I$2:$I$300=TRUE, ""), 0)), "حاضر", "غائب")</f>
        <v>غائب</v>
      </c>
      <c r="U167" s="2" t="str">
        <f t="shared" si="1"/>
        <v>0 من 6</v>
      </c>
      <c r="V167" s="21">
        <f t="shared" si="2"/>
        <v>0</v>
      </c>
      <c r="W167" s="2">
        <f t="shared" si="3"/>
        <v>0</v>
      </c>
      <c r="X167" s="2">
        <v>0</v>
      </c>
      <c r="Y167" s="2">
        <f t="shared" si="4"/>
        <v>0</v>
      </c>
      <c r="Z167" s="2">
        <f t="shared" si="5"/>
        <v>6</v>
      </c>
      <c r="AA167">
        <f t="shared" si="8"/>
        <v>0</v>
      </c>
    </row>
    <row r="168" spans="1:27" ht="15.7" customHeight="1" x14ac:dyDescent="0.4">
      <c r="A168" s="2" t="s">
        <v>363</v>
      </c>
      <c r="B168" s="7" t="s">
        <v>1288</v>
      </c>
      <c r="C168" s="2" t="s">
        <v>363</v>
      </c>
      <c r="D168" s="2" t="s">
        <v>39</v>
      </c>
      <c r="E168" s="2" t="s">
        <v>1289</v>
      </c>
      <c r="F168" s="2" t="s">
        <v>1290</v>
      </c>
      <c r="G168" s="2" t="s">
        <v>1291</v>
      </c>
      <c r="H168" s="2" t="s">
        <v>1292</v>
      </c>
      <c r="I168" s="7" t="s">
        <v>122</v>
      </c>
      <c r="J168" s="2">
        <v>54</v>
      </c>
      <c r="K168" s="2">
        <v>40</v>
      </c>
      <c r="L168" s="2">
        <v>15</v>
      </c>
      <c r="M168" s="2">
        <f t="shared" si="0"/>
        <v>109</v>
      </c>
      <c r="N168" s="2">
        <v>0</v>
      </c>
      <c r="O168" s="7" t="s">
        <v>79</v>
      </c>
      <c r="P168" s="7" t="s">
        <v>79</v>
      </c>
      <c r="Q168" s="7" t="s">
        <v>79</v>
      </c>
      <c r="R168" s="7" t="s">
        <v>79</v>
      </c>
      <c r="S168" t="s">
        <v>79</v>
      </c>
      <c r="T168" s="7" t="str" cm="1">
        <f t="array" ref="T168">IF(ISNUMBER(MATCH(TRIM(A168)&amp;"", _xlfn._xlws.FILTER(TRIM(Project_Scores!$D$2:$D$300)&amp;"", Project_Scores!$I$2:$I$300=TRUE, ""), 0)), "حاضر", "غائب")</f>
        <v>غائب</v>
      </c>
      <c r="U168" s="2" t="str">
        <f t="shared" si="1"/>
        <v>5 من 6</v>
      </c>
      <c r="V168" s="21">
        <f t="shared" si="2"/>
        <v>0.83333333333333337</v>
      </c>
      <c r="W168" s="2">
        <f t="shared" si="3"/>
        <v>109</v>
      </c>
      <c r="X168" s="2">
        <v>149</v>
      </c>
      <c r="Y168" s="2">
        <f t="shared" si="4"/>
        <v>5</v>
      </c>
      <c r="Z168" s="2">
        <f t="shared" si="5"/>
        <v>6</v>
      </c>
      <c r="AA168">
        <f t="shared" si="8"/>
        <v>154</v>
      </c>
    </row>
    <row r="169" spans="1:27" ht="15.7" customHeight="1" x14ac:dyDescent="0.4">
      <c r="A169" s="2" t="s">
        <v>1293</v>
      </c>
      <c r="B169" s="7" t="s">
        <v>1294</v>
      </c>
      <c r="C169" s="2" t="s">
        <v>1293</v>
      </c>
      <c r="D169" s="2" t="s">
        <v>105</v>
      </c>
      <c r="E169" s="2" t="s">
        <v>1295</v>
      </c>
      <c r="F169" s="2" t="s">
        <v>1296</v>
      </c>
      <c r="G169" s="2" t="s">
        <v>1297</v>
      </c>
      <c r="H169" s="2" t="s">
        <v>1298</v>
      </c>
      <c r="I169" s="7" t="s">
        <v>160</v>
      </c>
      <c r="J169" s="2">
        <v>0</v>
      </c>
      <c r="K169" s="2">
        <v>33</v>
      </c>
      <c r="L169" s="2">
        <v>0</v>
      </c>
      <c r="M169" s="2">
        <f t="shared" si="0"/>
        <v>33</v>
      </c>
      <c r="N169" s="2">
        <v>3</v>
      </c>
      <c r="O169" s="7" t="s">
        <v>79</v>
      </c>
      <c r="P169" s="7" t="s">
        <v>113</v>
      </c>
      <c r="Q169" s="7" t="s">
        <v>162</v>
      </c>
      <c r="R169" s="7" t="s">
        <v>79</v>
      </c>
      <c r="S169" t="s">
        <v>79</v>
      </c>
      <c r="T169" s="7" t="str" cm="1">
        <f t="array" ref="T169">IF(ISNUMBER(MATCH(TRIM(A169)&amp;"", _xlfn._xlws.FILTER(TRIM(Project_Scores!$D$2:$D$300)&amp;"", Project_Scores!$I$2:$I$300=TRUE, ""), 0)), "حاضر", "غائب")</f>
        <v>غائب</v>
      </c>
      <c r="U169" s="2" t="str">
        <f t="shared" si="1"/>
        <v>3 من 6</v>
      </c>
      <c r="V169" s="21">
        <f t="shared" si="2"/>
        <v>0.5</v>
      </c>
      <c r="W169" s="2">
        <f t="shared" si="3"/>
        <v>36</v>
      </c>
      <c r="X169" s="2">
        <v>56</v>
      </c>
      <c r="Y169" s="2">
        <f t="shared" si="4"/>
        <v>3</v>
      </c>
      <c r="Z169" s="2">
        <f t="shared" si="5"/>
        <v>6</v>
      </c>
      <c r="AA169">
        <f t="shared" si="8"/>
        <v>59.5</v>
      </c>
    </row>
    <row r="170" spans="1:27" ht="15.7" customHeight="1" x14ac:dyDescent="0.4">
      <c r="A170" s="2" t="s">
        <v>772</v>
      </c>
      <c r="B170" s="7" t="s">
        <v>771</v>
      </c>
      <c r="C170" s="2" t="s">
        <v>772</v>
      </c>
      <c r="D170" s="2" t="s">
        <v>39</v>
      </c>
      <c r="E170" s="2" t="s">
        <v>1302</v>
      </c>
      <c r="F170" s="2" t="s">
        <v>1303</v>
      </c>
      <c r="G170" s="2" t="s">
        <v>1304</v>
      </c>
      <c r="H170" s="2" t="s">
        <v>1305</v>
      </c>
      <c r="I170" s="7" t="s">
        <v>219</v>
      </c>
      <c r="J170" s="2">
        <v>54</v>
      </c>
      <c r="K170" s="2">
        <v>45</v>
      </c>
      <c r="L170" s="2">
        <v>35</v>
      </c>
      <c r="M170" s="2">
        <f t="shared" si="0"/>
        <v>134</v>
      </c>
      <c r="N170" s="2">
        <v>0</v>
      </c>
      <c r="O170" s="7" t="s">
        <v>79</v>
      </c>
      <c r="P170" s="7" t="s">
        <v>79</v>
      </c>
      <c r="Q170" s="7" t="s">
        <v>79</v>
      </c>
      <c r="R170" s="7" t="s">
        <v>79</v>
      </c>
      <c r="S170" t="s">
        <v>79</v>
      </c>
      <c r="T170" s="7" t="str" cm="1">
        <f t="array" ref="T170">IF(ISNUMBER(MATCH(TRIM(A170)&amp;"", _xlfn._xlws.FILTER(TRIM(Project_Scores!$D$2:$D$300)&amp;"", Project_Scores!$I$2:$I$300=TRUE, ""), 0)), "حاضر", "غائب")</f>
        <v>غائب</v>
      </c>
      <c r="U170" s="2" t="str">
        <f t="shared" si="1"/>
        <v>5 من 6</v>
      </c>
      <c r="V170" s="21">
        <f t="shared" si="2"/>
        <v>0.83333333333333337</v>
      </c>
      <c r="W170" s="2">
        <f t="shared" si="3"/>
        <v>134</v>
      </c>
      <c r="X170" s="2">
        <v>174</v>
      </c>
      <c r="Y170" s="2">
        <f t="shared" si="4"/>
        <v>5</v>
      </c>
      <c r="Z170" s="2">
        <f t="shared" si="5"/>
        <v>6</v>
      </c>
      <c r="AA170">
        <f t="shared" si="8"/>
        <v>179</v>
      </c>
    </row>
    <row r="171" spans="1:27" ht="15.7" customHeight="1" x14ac:dyDescent="0.4">
      <c r="A171" s="2" t="s">
        <v>567</v>
      </c>
      <c r="B171" s="7" t="s">
        <v>1306</v>
      </c>
      <c r="C171" s="2" t="s">
        <v>567</v>
      </c>
      <c r="D171" s="2" t="s">
        <v>105</v>
      </c>
      <c r="E171" s="2" t="s">
        <v>558</v>
      </c>
      <c r="F171" s="2" t="s">
        <v>1307</v>
      </c>
      <c r="G171" s="2" t="s">
        <v>1308</v>
      </c>
      <c r="H171" s="2" t="s">
        <v>1309</v>
      </c>
      <c r="I171" s="7" t="s">
        <v>346</v>
      </c>
      <c r="J171" s="2">
        <v>40</v>
      </c>
      <c r="K171" s="2">
        <v>24</v>
      </c>
      <c r="L171" s="2">
        <v>15</v>
      </c>
      <c r="M171" s="2">
        <f t="shared" si="0"/>
        <v>79</v>
      </c>
      <c r="N171" s="2">
        <v>0</v>
      </c>
      <c r="O171" s="7" t="s">
        <v>79</v>
      </c>
      <c r="P171" s="7" t="s">
        <v>79</v>
      </c>
      <c r="Q171" s="7" t="s">
        <v>79</v>
      </c>
      <c r="R171" s="7" t="s">
        <v>79</v>
      </c>
      <c r="S171" t="s">
        <v>79</v>
      </c>
      <c r="T171" s="7" t="str" cm="1">
        <f t="array" ref="T171">IF(ISNUMBER(MATCH(TRIM(A171)&amp;"", _xlfn._xlws.FILTER(TRIM(Project_Scores!$D$2:$D$300)&amp;"", Project_Scores!$I$2:$I$300=TRUE, ""), 0)), "حاضر", "غائب")</f>
        <v>غائب</v>
      </c>
      <c r="U171" s="2" t="str">
        <f t="shared" si="1"/>
        <v>5 من 6</v>
      </c>
      <c r="V171" s="21">
        <f t="shared" si="2"/>
        <v>0.83333333333333337</v>
      </c>
      <c r="W171" s="2">
        <f t="shared" si="3"/>
        <v>79</v>
      </c>
      <c r="X171" s="2">
        <v>119</v>
      </c>
      <c r="Y171" s="2">
        <f t="shared" si="4"/>
        <v>5</v>
      </c>
      <c r="Z171" s="2">
        <f t="shared" si="5"/>
        <v>6</v>
      </c>
      <c r="AA171">
        <f t="shared" si="8"/>
        <v>124</v>
      </c>
    </row>
    <row r="172" spans="1:27" ht="15.7" customHeight="1" x14ac:dyDescent="0.4">
      <c r="A172" s="2" t="s">
        <v>582</v>
      </c>
      <c r="B172" s="7" t="s">
        <v>1310</v>
      </c>
      <c r="C172" s="2" t="s">
        <v>582</v>
      </c>
      <c r="D172" s="2" t="s">
        <v>105</v>
      </c>
      <c r="E172" s="2" t="s">
        <v>558</v>
      </c>
      <c r="F172" s="2" t="s">
        <v>1311</v>
      </c>
      <c r="G172" s="2" t="s">
        <v>1312</v>
      </c>
      <c r="H172" s="2" t="s">
        <v>1313</v>
      </c>
      <c r="I172" s="7" t="s">
        <v>208</v>
      </c>
      <c r="J172" s="2">
        <v>38</v>
      </c>
      <c r="K172" s="2">
        <v>39</v>
      </c>
      <c r="L172" s="2">
        <v>15</v>
      </c>
      <c r="M172" s="2">
        <f t="shared" si="0"/>
        <v>92</v>
      </c>
      <c r="N172" s="2">
        <v>0</v>
      </c>
      <c r="O172" s="7" t="s">
        <v>79</v>
      </c>
      <c r="P172" s="7" t="s">
        <v>79</v>
      </c>
      <c r="Q172" s="7" t="s">
        <v>79</v>
      </c>
      <c r="R172" s="7" t="s">
        <v>79</v>
      </c>
      <c r="S172" t="s">
        <v>113</v>
      </c>
      <c r="T172" s="7" t="str" cm="1">
        <f t="array" ref="T172">IF(ISNUMBER(MATCH(TRIM(A172)&amp;"", _xlfn._xlws.FILTER(TRIM(Project_Scores!$D$2:$D$300)&amp;"", Project_Scores!$I$2:$I$300=TRUE, ""), 0)), "حاضر", "غائب")</f>
        <v>غائب</v>
      </c>
      <c r="U172" s="2" t="str">
        <f t="shared" si="1"/>
        <v>4 من 6</v>
      </c>
      <c r="V172" s="21">
        <f t="shared" si="2"/>
        <v>0.66666666666666663</v>
      </c>
      <c r="W172" s="2">
        <f t="shared" si="3"/>
        <v>92</v>
      </c>
      <c r="X172" s="2">
        <v>132</v>
      </c>
      <c r="Y172" s="2">
        <f t="shared" si="4"/>
        <v>4</v>
      </c>
      <c r="Z172" s="2">
        <f t="shared" si="5"/>
        <v>6</v>
      </c>
      <c r="AA172">
        <f t="shared" si="8"/>
        <v>136</v>
      </c>
    </row>
    <row r="173" spans="1:27" ht="15.7" customHeight="1" x14ac:dyDescent="0.4">
      <c r="A173" s="2" t="s">
        <v>613</v>
      </c>
      <c r="B173" s="7" t="s">
        <v>1314</v>
      </c>
      <c r="C173" s="2" t="s">
        <v>613</v>
      </c>
      <c r="D173" s="2" t="s">
        <v>105</v>
      </c>
      <c r="E173" s="2" t="s">
        <v>1315</v>
      </c>
      <c r="F173" s="2" t="s">
        <v>1316</v>
      </c>
      <c r="G173" s="2" t="s">
        <v>1318</v>
      </c>
      <c r="H173" s="2" t="s">
        <v>1319</v>
      </c>
      <c r="I173" s="7" t="s">
        <v>53</v>
      </c>
      <c r="J173" s="2">
        <v>35</v>
      </c>
      <c r="K173" s="2">
        <v>24</v>
      </c>
      <c r="L173" s="2">
        <v>15</v>
      </c>
      <c r="M173" s="2">
        <f t="shared" si="0"/>
        <v>74</v>
      </c>
      <c r="N173" s="2">
        <v>4</v>
      </c>
      <c r="O173" s="7" t="s">
        <v>79</v>
      </c>
      <c r="P173" s="7" t="s">
        <v>79</v>
      </c>
      <c r="Q173" s="7" t="s">
        <v>113</v>
      </c>
      <c r="R173" s="7" t="s">
        <v>79</v>
      </c>
      <c r="S173" t="s">
        <v>79</v>
      </c>
      <c r="T173" s="7" t="str" cm="1">
        <f t="array" ref="T173">IF(ISNUMBER(MATCH(TRIM(A173)&amp;"", _xlfn._xlws.FILTER(TRIM(Project_Scores!$D$2:$D$300)&amp;"", Project_Scores!$I$2:$I$300=TRUE, ""), 0)), "حاضر", "غائب")</f>
        <v>غائب</v>
      </c>
      <c r="U173" s="2" t="str">
        <f t="shared" si="1"/>
        <v>4 من 6</v>
      </c>
      <c r="V173" s="21">
        <f t="shared" si="2"/>
        <v>0.66666666666666663</v>
      </c>
      <c r="W173" s="2">
        <f t="shared" si="3"/>
        <v>78</v>
      </c>
      <c r="X173" s="2">
        <v>108</v>
      </c>
      <c r="Y173" s="2">
        <f t="shared" si="4"/>
        <v>4</v>
      </c>
      <c r="Z173" s="2">
        <f t="shared" si="5"/>
        <v>6</v>
      </c>
      <c r="AA173">
        <f t="shared" si="8"/>
        <v>112</v>
      </c>
    </row>
    <row r="174" spans="1:27" ht="15.7" customHeight="1" x14ac:dyDescent="0.4">
      <c r="A174" s="2" t="s">
        <v>778</v>
      </c>
      <c r="B174" s="7" t="s">
        <v>777</v>
      </c>
      <c r="C174" s="2" t="s">
        <v>778</v>
      </c>
      <c r="D174" s="2" t="s">
        <v>1320</v>
      </c>
      <c r="E174" s="2" t="s">
        <v>177</v>
      </c>
      <c r="F174" s="2" t="s">
        <v>1321</v>
      </c>
      <c r="G174" s="2" t="s">
        <v>1322</v>
      </c>
      <c r="H174" s="2" t="s">
        <v>1323</v>
      </c>
      <c r="I174" s="7" t="s">
        <v>208</v>
      </c>
      <c r="J174" s="2">
        <v>54</v>
      </c>
      <c r="K174" s="2">
        <v>45</v>
      </c>
      <c r="L174" s="2">
        <v>35</v>
      </c>
      <c r="M174" s="2">
        <f t="shared" si="0"/>
        <v>134</v>
      </c>
      <c r="N174" s="2">
        <v>0</v>
      </c>
      <c r="O174" s="7" t="s">
        <v>79</v>
      </c>
      <c r="P174" s="7" t="s">
        <v>79</v>
      </c>
      <c r="Q174" s="7" t="s">
        <v>162</v>
      </c>
      <c r="R174" s="7" t="s">
        <v>79</v>
      </c>
      <c r="S174" t="s">
        <v>79</v>
      </c>
      <c r="T174" s="7" t="str" cm="1">
        <f t="array" ref="T174">IF(ISNUMBER(MATCH(TRIM(A174)&amp;"", _xlfn._xlws.FILTER(TRIM(Project_Scores!$D$2:$D$300)&amp;"", Project_Scores!$I$2:$I$300=TRUE, ""), 0)), "حاضر", "غائب")</f>
        <v>غائب</v>
      </c>
      <c r="U174" s="2" t="str">
        <f t="shared" si="1"/>
        <v>4 من 6</v>
      </c>
      <c r="V174" s="21">
        <f t="shared" si="2"/>
        <v>0.66666666666666663</v>
      </c>
      <c r="W174" s="2">
        <f t="shared" si="3"/>
        <v>134</v>
      </c>
      <c r="X174" s="2">
        <v>164</v>
      </c>
      <c r="Y174" s="2">
        <f t="shared" si="4"/>
        <v>4</v>
      </c>
      <c r="Z174" s="2">
        <f t="shared" si="5"/>
        <v>6</v>
      </c>
      <c r="AA174">
        <f t="shared" si="8"/>
        <v>168.5</v>
      </c>
    </row>
    <row r="175" spans="1:27" ht="15.7" customHeight="1" x14ac:dyDescent="0.4">
      <c r="A175" s="2" t="s">
        <v>1324</v>
      </c>
      <c r="B175" s="7" t="s">
        <v>1325</v>
      </c>
      <c r="C175" s="2" t="s">
        <v>1324</v>
      </c>
      <c r="D175" s="2" t="s">
        <v>105</v>
      </c>
      <c r="E175" s="2" t="s">
        <v>1326</v>
      </c>
      <c r="F175" s="2" t="s">
        <v>1327</v>
      </c>
      <c r="G175" s="2" t="s">
        <v>1328</v>
      </c>
      <c r="H175" s="2" t="s">
        <v>1329</v>
      </c>
      <c r="I175" s="7" t="s">
        <v>208</v>
      </c>
      <c r="J175" s="2">
        <v>0</v>
      </c>
      <c r="K175" s="2">
        <v>0</v>
      </c>
      <c r="L175" s="2">
        <v>0</v>
      </c>
      <c r="M175" s="2">
        <f t="shared" si="0"/>
        <v>0</v>
      </c>
      <c r="N175" s="2">
        <v>0</v>
      </c>
      <c r="O175" s="7" t="s">
        <v>113</v>
      </c>
      <c r="P175" s="7" t="s">
        <v>113</v>
      </c>
      <c r="Q175" s="7" t="s">
        <v>113</v>
      </c>
      <c r="R175" s="7" t="s">
        <v>113</v>
      </c>
      <c r="S175" t="s">
        <v>113</v>
      </c>
      <c r="T175" s="7" t="str" cm="1">
        <f t="array" ref="T175">IF(ISNUMBER(MATCH(TRIM(A175)&amp;"", _xlfn._xlws.FILTER(TRIM(Project_Scores!$D$2:$D$300)&amp;"", Project_Scores!$I$2:$I$300=TRUE, ""), 0)), "حاضر", "غائب")</f>
        <v>غائب</v>
      </c>
      <c r="U175" s="2" t="str">
        <f t="shared" si="1"/>
        <v>0 من 6</v>
      </c>
      <c r="V175" s="21">
        <f t="shared" si="2"/>
        <v>0</v>
      </c>
      <c r="W175" s="2">
        <f t="shared" si="3"/>
        <v>0</v>
      </c>
      <c r="X175" s="2">
        <v>0</v>
      </c>
      <c r="Y175" s="2">
        <f t="shared" si="4"/>
        <v>0</v>
      </c>
      <c r="Z175" s="2">
        <f t="shared" si="5"/>
        <v>6</v>
      </c>
      <c r="AA175">
        <f t="shared" si="8"/>
        <v>0</v>
      </c>
    </row>
    <row r="176" spans="1:27" ht="15.7" customHeight="1" x14ac:dyDescent="0.4">
      <c r="A176" s="2" t="s">
        <v>1331</v>
      </c>
      <c r="B176" s="7" t="s">
        <v>1332</v>
      </c>
      <c r="C176" s="2" t="s">
        <v>1331</v>
      </c>
      <c r="D176" s="2" t="s">
        <v>105</v>
      </c>
      <c r="E176" s="2" t="s">
        <v>1333</v>
      </c>
      <c r="F176" s="2" t="s">
        <v>1334</v>
      </c>
      <c r="G176" s="2" t="s">
        <v>1335</v>
      </c>
      <c r="H176" s="2" t="s">
        <v>1336</v>
      </c>
      <c r="I176" s="7" t="s">
        <v>150</v>
      </c>
      <c r="J176" s="2">
        <v>39</v>
      </c>
      <c r="K176" s="2">
        <v>0</v>
      </c>
      <c r="L176" s="2">
        <v>0</v>
      </c>
      <c r="M176" s="2">
        <f t="shared" si="0"/>
        <v>39</v>
      </c>
      <c r="N176" s="2">
        <v>0</v>
      </c>
      <c r="O176" s="7" t="s">
        <v>79</v>
      </c>
      <c r="P176" s="7" t="s">
        <v>113</v>
      </c>
      <c r="Q176" s="7" t="s">
        <v>113</v>
      </c>
      <c r="R176" s="7" t="s">
        <v>113</v>
      </c>
      <c r="S176" t="s">
        <v>113</v>
      </c>
      <c r="T176" s="7" t="str" cm="1">
        <f t="array" ref="T176">IF(ISNUMBER(MATCH(TRIM(A176)&amp;"", _xlfn._xlws.FILTER(TRIM(Project_Scores!$D$2:$D$300)&amp;"", Project_Scores!$I$2:$I$300=TRUE, ""), 0)), "حاضر", "غائب")</f>
        <v>غائب</v>
      </c>
      <c r="U176" s="2" t="str">
        <f t="shared" si="1"/>
        <v>1 من 6</v>
      </c>
      <c r="V176" s="21">
        <f t="shared" si="2"/>
        <v>0.16666666666666666</v>
      </c>
      <c r="W176" s="2">
        <f t="shared" si="3"/>
        <v>39</v>
      </c>
      <c r="X176" s="2">
        <v>49</v>
      </c>
      <c r="Y176" s="2">
        <f t="shared" si="4"/>
        <v>1</v>
      </c>
      <c r="Z176" s="2">
        <f t="shared" si="5"/>
        <v>6</v>
      </c>
      <c r="AA176">
        <f t="shared" si="8"/>
        <v>50</v>
      </c>
    </row>
    <row r="177" spans="1:27" ht="15.7" customHeight="1" x14ac:dyDescent="0.4">
      <c r="A177" s="2" t="s">
        <v>394</v>
      </c>
      <c r="B177" s="7" t="s">
        <v>1337</v>
      </c>
      <c r="C177" s="2" t="s">
        <v>394</v>
      </c>
      <c r="D177" s="2" t="s">
        <v>39</v>
      </c>
      <c r="E177" s="2" t="s">
        <v>1338</v>
      </c>
      <c r="F177" s="2" t="s">
        <v>1021</v>
      </c>
      <c r="G177" s="2" t="s">
        <v>1339</v>
      </c>
      <c r="H177" s="2" t="s">
        <v>1020</v>
      </c>
      <c r="I177" s="7" t="s">
        <v>160</v>
      </c>
      <c r="J177" s="2">
        <v>46</v>
      </c>
      <c r="K177" s="2">
        <v>40</v>
      </c>
      <c r="L177" s="2">
        <v>38</v>
      </c>
      <c r="M177" s="2">
        <f t="shared" si="0"/>
        <v>124</v>
      </c>
      <c r="N177" s="2">
        <v>4</v>
      </c>
      <c r="O177" s="7" t="s">
        <v>79</v>
      </c>
      <c r="P177" s="7" t="s">
        <v>79</v>
      </c>
      <c r="Q177" s="7" t="s">
        <v>79</v>
      </c>
      <c r="R177" s="7" t="s">
        <v>113</v>
      </c>
      <c r="S177" t="s">
        <v>79</v>
      </c>
      <c r="T177" s="7" t="str" cm="1">
        <f t="array" ref="T177">IF(ISNUMBER(MATCH(TRIM(A177)&amp;"", _xlfn._xlws.FILTER(TRIM(Project_Scores!$D$2:$D$300)&amp;"", Project_Scores!$I$2:$I$300=TRUE, ""), 0)), "حاضر", "غائب")</f>
        <v>غائب</v>
      </c>
      <c r="U177" s="2" t="str">
        <f t="shared" si="1"/>
        <v>4 من 6</v>
      </c>
      <c r="V177" s="21">
        <f t="shared" si="2"/>
        <v>0.66666666666666663</v>
      </c>
      <c r="W177" s="2">
        <f t="shared" si="3"/>
        <v>128</v>
      </c>
      <c r="X177" s="2">
        <v>158</v>
      </c>
      <c r="Y177" s="2">
        <f t="shared" si="4"/>
        <v>4</v>
      </c>
      <c r="Z177" s="2">
        <f t="shared" si="5"/>
        <v>6</v>
      </c>
      <c r="AA177">
        <f t="shared" si="8"/>
        <v>162</v>
      </c>
    </row>
    <row r="178" spans="1:27" ht="15.7" customHeight="1" x14ac:dyDescent="0.4">
      <c r="A178" s="2" t="s">
        <v>664</v>
      </c>
      <c r="B178" s="7" t="s">
        <v>663</v>
      </c>
      <c r="C178" s="2" t="s">
        <v>664</v>
      </c>
      <c r="D178" s="2" t="s">
        <v>39</v>
      </c>
      <c r="E178" s="2" t="s">
        <v>1342</v>
      </c>
      <c r="F178" s="2" t="s">
        <v>1343</v>
      </c>
      <c r="G178" s="2" t="s">
        <v>1344</v>
      </c>
      <c r="H178" s="2" t="s">
        <v>1345</v>
      </c>
      <c r="I178" s="7" t="s">
        <v>150</v>
      </c>
      <c r="J178" s="2">
        <v>0</v>
      </c>
      <c r="K178" s="2">
        <v>42</v>
      </c>
      <c r="L178" s="2">
        <v>38</v>
      </c>
      <c r="M178" s="2">
        <f t="shared" si="0"/>
        <v>80</v>
      </c>
      <c r="N178" s="2">
        <v>0</v>
      </c>
      <c r="O178" s="7" t="s">
        <v>79</v>
      </c>
      <c r="P178" s="7" t="s">
        <v>79</v>
      </c>
      <c r="Q178" s="7" t="s">
        <v>113</v>
      </c>
      <c r="R178" s="7" t="s">
        <v>79</v>
      </c>
      <c r="S178" t="s">
        <v>79</v>
      </c>
      <c r="T178" s="7" t="str" cm="1">
        <f t="array" ref="T178">IF(ISNUMBER(MATCH(TRIM(A178)&amp;"", _xlfn._xlws.FILTER(TRIM(Project_Scores!$D$2:$D$300)&amp;"", Project_Scores!$I$2:$I$300=TRUE, ""), 0)), "حاضر", "غائب")</f>
        <v>غائب</v>
      </c>
      <c r="U178" s="2" t="str">
        <f t="shared" si="1"/>
        <v>4 من 6</v>
      </c>
      <c r="V178" s="21">
        <f t="shared" si="2"/>
        <v>0.66666666666666663</v>
      </c>
      <c r="W178" s="2">
        <f t="shared" si="3"/>
        <v>80</v>
      </c>
      <c r="X178" s="2">
        <v>110</v>
      </c>
      <c r="Y178" s="2">
        <f t="shared" si="4"/>
        <v>4</v>
      </c>
      <c r="Z178" s="2">
        <f t="shared" si="5"/>
        <v>6</v>
      </c>
      <c r="AA178">
        <f t="shared" si="8"/>
        <v>114</v>
      </c>
    </row>
    <row r="179" spans="1:27" ht="15.7" customHeight="1" x14ac:dyDescent="0.4">
      <c r="A179" s="2" t="s">
        <v>473</v>
      </c>
      <c r="B179" s="7" t="s">
        <v>1347</v>
      </c>
      <c r="C179" s="2" t="s">
        <v>473</v>
      </c>
      <c r="D179" s="2" t="s">
        <v>105</v>
      </c>
      <c r="E179" s="2" t="s">
        <v>1348</v>
      </c>
      <c r="F179" s="2" t="s">
        <v>1161</v>
      </c>
      <c r="G179" s="2" t="s">
        <v>1349</v>
      </c>
      <c r="H179" s="2" t="s">
        <v>1160</v>
      </c>
      <c r="I179" s="7" t="s">
        <v>160</v>
      </c>
      <c r="J179" s="2">
        <v>38</v>
      </c>
      <c r="K179" s="2">
        <v>30</v>
      </c>
      <c r="L179" s="2">
        <v>0</v>
      </c>
      <c r="M179" s="2">
        <f t="shared" si="0"/>
        <v>68</v>
      </c>
      <c r="N179" s="2">
        <v>0</v>
      </c>
      <c r="O179" s="7" t="s">
        <v>113</v>
      </c>
      <c r="P179" s="7" t="s">
        <v>79</v>
      </c>
      <c r="Q179" s="7" t="s">
        <v>79</v>
      </c>
      <c r="R179" s="7" t="s">
        <v>79</v>
      </c>
      <c r="S179" t="s">
        <v>79</v>
      </c>
      <c r="T179" s="7" t="str" cm="1">
        <f t="array" ref="T179">IF(ISNUMBER(MATCH(TRIM(A179)&amp;"", _xlfn._xlws.FILTER(TRIM(Project_Scores!$D$2:$D$300)&amp;"", Project_Scores!$I$2:$I$300=TRUE, ""), 0)), "حاضر", "غائب")</f>
        <v>غائب</v>
      </c>
      <c r="U179" s="2" t="str">
        <f t="shared" si="1"/>
        <v>4 من 6</v>
      </c>
      <c r="V179" s="21">
        <f t="shared" si="2"/>
        <v>0.66666666666666663</v>
      </c>
      <c r="W179" s="2">
        <f t="shared" si="3"/>
        <v>68</v>
      </c>
      <c r="X179" s="2">
        <v>98</v>
      </c>
      <c r="Y179" s="2">
        <f t="shared" si="4"/>
        <v>4</v>
      </c>
      <c r="Z179" s="2">
        <f t="shared" si="5"/>
        <v>6</v>
      </c>
      <c r="AA179">
        <f t="shared" si="8"/>
        <v>102</v>
      </c>
    </row>
    <row r="180" spans="1:27" ht="15.7" customHeight="1" x14ac:dyDescent="0.4">
      <c r="A180" s="2" t="s">
        <v>746</v>
      </c>
      <c r="B180" s="7" t="s">
        <v>1350</v>
      </c>
      <c r="C180" s="2" t="s">
        <v>746</v>
      </c>
      <c r="D180" s="2" t="s">
        <v>105</v>
      </c>
      <c r="E180" s="2" t="s">
        <v>929</v>
      </c>
      <c r="F180" s="2" t="s">
        <v>1351</v>
      </c>
      <c r="G180" s="2" t="s">
        <v>1352</v>
      </c>
      <c r="H180" s="2" t="s">
        <v>1353</v>
      </c>
      <c r="I180" s="7" t="s">
        <v>208</v>
      </c>
      <c r="J180" s="2">
        <v>22.5</v>
      </c>
      <c r="K180" s="2">
        <v>15</v>
      </c>
      <c r="L180" s="2">
        <v>5</v>
      </c>
      <c r="M180" s="2">
        <f t="shared" si="0"/>
        <v>42.5</v>
      </c>
      <c r="N180" s="2">
        <v>1</v>
      </c>
      <c r="O180" s="7" t="s">
        <v>79</v>
      </c>
      <c r="P180" s="7" t="s">
        <v>79</v>
      </c>
      <c r="Q180" s="7" t="s">
        <v>113</v>
      </c>
      <c r="R180" s="7" t="s">
        <v>79</v>
      </c>
      <c r="S180" t="s">
        <v>79</v>
      </c>
      <c r="T180" s="7" t="str" cm="1">
        <f t="array" ref="T180">IF(ISNUMBER(MATCH(TRIM(A180)&amp;"", _xlfn._xlws.FILTER(TRIM(Project_Scores!$D$2:$D$300)&amp;"", Project_Scores!$I$2:$I$300=TRUE, ""), 0)), "حاضر", "غائب")</f>
        <v>غائب</v>
      </c>
      <c r="U180" s="2" t="str">
        <f t="shared" si="1"/>
        <v>4 من 6</v>
      </c>
      <c r="V180" s="21">
        <f t="shared" si="2"/>
        <v>0.66666666666666663</v>
      </c>
      <c r="W180" s="2">
        <f t="shared" si="3"/>
        <v>43.5</v>
      </c>
      <c r="X180" s="2">
        <v>73.5</v>
      </c>
      <c r="Y180" s="2">
        <f t="shared" si="4"/>
        <v>4</v>
      </c>
      <c r="Z180" s="2">
        <f t="shared" si="5"/>
        <v>6</v>
      </c>
      <c r="AA180">
        <f t="shared" si="8"/>
        <v>77.5</v>
      </c>
    </row>
    <row r="181" spans="1:27" ht="15.7" customHeight="1" x14ac:dyDescent="0.4">
      <c r="A181" s="2" t="s">
        <v>306</v>
      </c>
      <c r="B181" s="7" t="s">
        <v>305</v>
      </c>
      <c r="C181" s="2" t="s">
        <v>306</v>
      </c>
      <c r="D181" s="2" t="s">
        <v>105</v>
      </c>
      <c r="E181" s="2" t="s">
        <v>1354</v>
      </c>
      <c r="F181" s="2" t="s">
        <v>922</v>
      </c>
      <c r="G181" s="2" t="s">
        <v>1355</v>
      </c>
      <c r="H181" s="2" t="s">
        <v>921</v>
      </c>
      <c r="I181" s="7" t="s">
        <v>160</v>
      </c>
      <c r="J181" s="2">
        <v>55</v>
      </c>
      <c r="K181" s="2">
        <v>39</v>
      </c>
      <c r="L181" s="2">
        <v>0</v>
      </c>
      <c r="M181" s="2">
        <f t="shared" si="0"/>
        <v>94</v>
      </c>
      <c r="N181" s="2">
        <v>10</v>
      </c>
      <c r="O181" s="7" t="s">
        <v>79</v>
      </c>
      <c r="P181" s="7" t="s">
        <v>79</v>
      </c>
      <c r="Q181" s="7" t="s">
        <v>79</v>
      </c>
      <c r="R181" s="7" t="s">
        <v>79</v>
      </c>
      <c r="S181" t="s">
        <v>79</v>
      </c>
      <c r="T181" s="7" t="str" cm="1">
        <f t="array" ref="T181">IF(ISNUMBER(MATCH(TRIM(A181)&amp;"", _xlfn._xlws.FILTER(TRIM(Project_Scores!$D$2:$D$300)&amp;"", Project_Scores!$I$2:$I$300=TRUE, ""), 0)), "حاضر", "غائب")</f>
        <v>غائب</v>
      </c>
      <c r="U181" s="2" t="str">
        <f t="shared" si="1"/>
        <v>5 من 6</v>
      </c>
      <c r="V181" s="21">
        <f t="shared" si="2"/>
        <v>0.83333333333333337</v>
      </c>
      <c r="W181" s="2">
        <f t="shared" si="3"/>
        <v>104</v>
      </c>
      <c r="X181" s="2">
        <v>144</v>
      </c>
      <c r="Y181" s="2">
        <f t="shared" si="4"/>
        <v>5</v>
      </c>
      <c r="Z181" s="2">
        <f t="shared" si="5"/>
        <v>6</v>
      </c>
      <c r="AA181">
        <f t="shared" si="8"/>
        <v>149</v>
      </c>
    </row>
    <row r="182" spans="1:27" ht="15.7" customHeight="1" x14ac:dyDescent="0.4">
      <c r="A182" s="2" t="s">
        <v>524</v>
      </c>
      <c r="B182" s="7" t="s">
        <v>522</v>
      </c>
      <c r="C182" s="2" t="s">
        <v>524</v>
      </c>
      <c r="D182" s="2" t="s">
        <v>137</v>
      </c>
      <c r="E182" s="2" t="s">
        <v>138</v>
      </c>
      <c r="F182" s="2" t="s">
        <v>1205</v>
      </c>
      <c r="G182" s="2" t="s">
        <v>1356</v>
      </c>
      <c r="H182" s="2" t="s">
        <v>1203</v>
      </c>
      <c r="I182" s="7" t="s">
        <v>208</v>
      </c>
      <c r="J182" s="2">
        <v>54</v>
      </c>
      <c r="K182" s="2">
        <v>40</v>
      </c>
      <c r="L182" s="2">
        <v>35</v>
      </c>
      <c r="M182" s="2">
        <f t="shared" si="0"/>
        <v>129</v>
      </c>
      <c r="N182" s="2">
        <v>2</v>
      </c>
      <c r="O182" s="7" t="s">
        <v>79</v>
      </c>
      <c r="P182" s="7" t="s">
        <v>79</v>
      </c>
      <c r="Q182" s="7" t="s">
        <v>162</v>
      </c>
      <c r="R182" s="7" t="s">
        <v>79</v>
      </c>
      <c r="S182" t="s">
        <v>79</v>
      </c>
      <c r="T182" s="7" t="str" cm="1">
        <f t="array" ref="T182">IF(ISNUMBER(MATCH(TRIM(A182)&amp;"", _xlfn._xlws.FILTER(TRIM(Project_Scores!$D$2:$D$300)&amp;"", Project_Scores!$I$2:$I$300=TRUE, ""), 0)), "حاضر", "غائب")</f>
        <v>غائب</v>
      </c>
      <c r="U182" s="2" t="str">
        <f t="shared" si="1"/>
        <v>4 من 6</v>
      </c>
      <c r="V182" s="21">
        <f t="shared" si="2"/>
        <v>0.66666666666666663</v>
      </c>
      <c r="W182" s="2">
        <f t="shared" si="3"/>
        <v>131</v>
      </c>
      <c r="X182" s="2">
        <v>161</v>
      </c>
      <c r="Y182" s="2">
        <f t="shared" si="4"/>
        <v>4</v>
      </c>
      <c r="Z182" s="2">
        <f t="shared" si="5"/>
        <v>6</v>
      </c>
      <c r="AA182">
        <f t="shared" si="8"/>
        <v>165.5</v>
      </c>
    </row>
    <row r="183" spans="1:27" ht="15.7" customHeight="1" x14ac:dyDescent="0.4">
      <c r="A183" s="2" t="s">
        <v>727</v>
      </c>
      <c r="B183" s="7" t="s">
        <v>726</v>
      </c>
      <c r="C183" s="2" t="s">
        <v>727</v>
      </c>
      <c r="D183" s="2" t="s">
        <v>39</v>
      </c>
      <c r="E183" s="2" t="s">
        <v>1357</v>
      </c>
      <c r="F183" s="2" t="s">
        <v>1358</v>
      </c>
      <c r="G183" s="2" t="s">
        <v>1359</v>
      </c>
      <c r="H183" s="2" t="s">
        <v>1360</v>
      </c>
      <c r="I183" s="7" t="s">
        <v>53</v>
      </c>
      <c r="J183" s="2">
        <v>55</v>
      </c>
      <c r="K183" s="2">
        <v>27</v>
      </c>
      <c r="L183" s="2">
        <v>30</v>
      </c>
      <c r="M183" s="2">
        <f t="shared" si="0"/>
        <v>112</v>
      </c>
      <c r="N183" s="2">
        <v>5</v>
      </c>
      <c r="O183" s="7" t="s">
        <v>79</v>
      </c>
      <c r="P183" s="7" t="s">
        <v>79</v>
      </c>
      <c r="Q183" s="7" t="s">
        <v>79</v>
      </c>
      <c r="R183" s="7" t="s">
        <v>79</v>
      </c>
      <c r="S183" t="s">
        <v>79</v>
      </c>
      <c r="T183" s="7" t="str" cm="1">
        <f t="array" ref="T183">IF(ISNUMBER(MATCH(TRIM(A183)&amp;"", _xlfn._xlws.FILTER(TRIM(Project_Scores!$D$2:$D$300)&amp;"", Project_Scores!$I$2:$I$300=TRUE, ""), 0)), "حاضر", "غائب")</f>
        <v>غائب</v>
      </c>
      <c r="U183" s="2" t="str">
        <f t="shared" si="1"/>
        <v>5 من 6</v>
      </c>
      <c r="V183" s="21">
        <f t="shared" si="2"/>
        <v>0.83333333333333337</v>
      </c>
      <c r="W183" s="2">
        <f t="shared" si="3"/>
        <v>117</v>
      </c>
      <c r="X183" s="2">
        <v>157</v>
      </c>
      <c r="Y183" s="2">
        <f t="shared" si="4"/>
        <v>5</v>
      </c>
      <c r="Z183" s="2">
        <f t="shared" si="5"/>
        <v>6</v>
      </c>
      <c r="AA183">
        <f t="shared" si="8"/>
        <v>162</v>
      </c>
    </row>
    <row r="184" spans="1:27" ht="15.7" customHeight="1" x14ac:dyDescent="0.4">
      <c r="A184" s="2" t="s">
        <v>267</v>
      </c>
      <c r="B184" s="7" t="s">
        <v>266</v>
      </c>
      <c r="C184" s="2" t="s">
        <v>267</v>
      </c>
      <c r="D184" s="2" t="s">
        <v>39</v>
      </c>
      <c r="E184" s="2" t="s">
        <v>1361</v>
      </c>
      <c r="F184" s="2" t="s">
        <v>749</v>
      </c>
      <c r="G184" s="2" t="s">
        <v>1362</v>
      </c>
      <c r="H184" s="2" t="s">
        <v>748</v>
      </c>
      <c r="I184" s="7" t="s">
        <v>150</v>
      </c>
      <c r="J184" s="2">
        <v>38</v>
      </c>
      <c r="K184" s="2">
        <v>45</v>
      </c>
      <c r="L184" s="2">
        <v>26</v>
      </c>
      <c r="M184" s="2">
        <f t="shared" si="0"/>
        <v>109</v>
      </c>
      <c r="N184" s="2">
        <v>0</v>
      </c>
      <c r="O184" s="7" t="s">
        <v>79</v>
      </c>
      <c r="P184" s="7" t="s">
        <v>79</v>
      </c>
      <c r="Q184" s="7" t="s">
        <v>79</v>
      </c>
      <c r="R184" s="7" t="s">
        <v>79</v>
      </c>
      <c r="S184" t="s">
        <v>79</v>
      </c>
      <c r="T184" s="7" t="str" cm="1">
        <f t="array" ref="T184">IF(ISNUMBER(MATCH(TRIM(A184)&amp;"", _xlfn._xlws.FILTER(TRIM(Project_Scores!$D$2:$D$300)&amp;"", Project_Scores!$I$2:$I$300=TRUE, ""), 0)), "حاضر", "غائب")</f>
        <v>غائب</v>
      </c>
      <c r="U184" s="2" t="str">
        <f t="shared" si="1"/>
        <v>5 من 6</v>
      </c>
      <c r="V184" s="21">
        <f t="shared" si="2"/>
        <v>0.83333333333333337</v>
      </c>
      <c r="W184" s="2">
        <f t="shared" si="3"/>
        <v>109</v>
      </c>
      <c r="X184" s="2">
        <v>149</v>
      </c>
      <c r="Y184" s="2">
        <f t="shared" si="4"/>
        <v>5</v>
      </c>
      <c r="Z184" s="2">
        <f t="shared" si="5"/>
        <v>6</v>
      </c>
      <c r="AA184">
        <f t="shared" si="8"/>
        <v>154</v>
      </c>
    </row>
    <row r="185" spans="1:27" ht="15.7" customHeight="1" x14ac:dyDescent="0.4">
      <c r="A185" s="2" t="s">
        <v>1363</v>
      </c>
      <c r="B185" s="7" t="s">
        <v>1364</v>
      </c>
      <c r="C185" s="2" t="s">
        <v>1363</v>
      </c>
      <c r="D185" s="2" t="s">
        <v>39</v>
      </c>
      <c r="E185" s="2" t="s">
        <v>1365</v>
      </c>
      <c r="F185" s="2" t="s">
        <v>1366</v>
      </c>
      <c r="G185" s="2" t="s">
        <v>1367</v>
      </c>
      <c r="H185" s="2" t="s">
        <v>1368</v>
      </c>
      <c r="I185" s="7" t="s">
        <v>1127</v>
      </c>
      <c r="J185" s="2">
        <v>0</v>
      </c>
      <c r="K185" s="2">
        <v>0</v>
      </c>
      <c r="L185" s="2">
        <v>0</v>
      </c>
      <c r="M185" s="2">
        <f t="shared" si="0"/>
        <v>0</v>
      </c>
      <c r="N185" s="2">
        <v>0</v>
      </c>
      <c r="O185" s="7" t="s">
        <v>113</v>
      </c>
      <c r="P185" s="7" t="s">
        <v>113</v>
      </c>
      <c r="Q185" s="7" t="s">
        <v>113</v>
      </c>
      <c r="R185" s="7" t="s">
        <v>113</v>
      </c>
      <c r="S185" t="s">
        <v>113</v>
      </c>
      <c r="T185" s="7" t="str" cm="1">
        <f t="array" ref="T185">IF(ISNUMBER(MATCH(TRIM(A185)&amp;"", _xlfn._xlws.FILTER(TRIM(Project_Scores!$D$2:$D$300)&amp;"", Project_Scores!$I$2:$I$300=TRUE, ""), 0)), "حاضر", "غائب")</f>
        <v>غائب</v>
      </c>
      <c r="U185" s="2" t="str">
        <f t="shared" si="1"/>
        <v>0 من 6</v>
      </c>
      <c r="V185" s="21">
        <f t="shared" si="2"/>
        <v>0</v>
      </c>
      <c r="W185" s="2">
        <f t="shared" si="3"/>
        <v>0</v>
      </c>
      <c r="X185" s="2">
        <v>0</v>
      </c>
      <c r="Y185" s="2">
        <f t="shared" si="4"/>
        <v>0</v>
      </c>
      <c r="Z185" s="2">
        <f t="shared" si="5"/>
        <v>6</v>
      </c>
      <c r="AA185">
        <f t="shared" si="8"/>
        <v>0</v>
      </c>
    </row>
    <row r="186" spans="1:27" ht="15.7" customHeight="1" x14ac:dyDescent="0.4">
      <c r="A186" s="2" t="s">
        <v>1369</v>
      </c>
      <c r="B186" s="7" t="s">
        <v>1370</v>
      </c>
      <c r="C186" s="2" t="s">
        <v>1369</v>
      </c>
      <c r="D186" s="2" t="s">
        <v>137</v>
      </c>
      <c r="E186" s="2" t="s">
        <v>410</v>
      </c>
      <c r="F186" s="2" t="s">
        <v>1371</v>
      </c>
      <c r="G186" s="2" t="s">
        <v>1372</v>
      </c>
      <c r="H186" s="2" t="s">
        <v>1373</v>
      </c>
      <c r="I186" s="7" t="s">
        <v>1199</v>
      </c>
      <c r="J186" s="2">
        <v>0</v>
      </c>
      <c r="K186" s="2">
        <v>0</v>
      </c>
      <c r="L186" s="2">
        <v>0</v>
      </c>
      <c r="M186" s="2">
        <f t="shared" si="0"/>
        <v>0</v>
      </c>
      <c r="N186" s="2">
        <v>0</v>
      </c>
      <c r="O186" s="7" t="s">
        <v>113</v>
      </c>
      <c r="P186" s="7" t="s">
        <v>113</v>
      </c>
      <c r="Q186" s="7" t="s">
        <v>113</v>
      </c>
      <c r="R186" s="7" t="s">
        <v>113</v>
      </c>
      <c r="S186" t="s">
        <v>113</v>
      </c>
      <c r="T186" s="7" t="str" cm="1">
        <f t="array" ref="T186">IF(ISNUMBER(MATCH(TRIM(A186)&amp;"", _xlfn._xlws.FILTER(TRIM(Project_Scores!$D$2:$D$300)&amp;"", Project_Scores!$I$2:$I$300=TRUE, ""), 0)), "حاضر", "غائب")</f>
        <v>غائب</v>
      </c>
      <c r="U186" s="2" t="str">
        <f t="shared" si="1"/>
        <v>0 من 6</v>
      </c>
      <c r="V186" s="21">
        <f t="shared" si="2"/>
        <v>0</v>
      </c>
      <c r="W186" s="2">
        <f t="shared" si="3"/>
        <v>0</v>
      </c>
      <c r="X186" s="2">
        <v>0</v>
      </c>
      <c r="Y186" s="2">
        <f t="shared" si="4"/>
        <v>0</v>
      </c>
      <c r="Z186" s="2">
        <f t="shared" si="5"/>
        <v>6</v>
      </c>
      <c r="AA186">
        <f t="shared" si="8"/>
        <v>0</v>
      </c>
    </row>
    <row r="187" spans="1:27" ht="15.7" customHeight="1" x14ac:dyDescent="0.4">
      <c r="A187" s="2" t="s">
        <v>755</v>
      </c>
      <c r="B187" s="7" t="s">
        <v>754</v>
      </c>
      <c r="C187" s="2" t="s">
        <v>755</v>
      </c>
      <c r="D187" s="2" t="s">
        <v>39</v>
      </c>
      <c r="E187" s="2" t="s">
        <v>1374</v>
      </c>
      <c r="F187" s="2" t="s">
        <v>1375</v>
      </c>
      <c r="G187" s="2" t="s">
        <v>1376</v>
      </c>
      <c r="H187" s="2" t="s">
        <v>1377</v>
      </c>
      <c r="I187" s="7" t="s">
        <v>132</v>
      </c>
      <c r="J187" s="2">
        <v>40</v>
      </c>
      <c r="K187" s="2">
        <v>30</v>
      </c>
      <c r="L187" s="2">
        <v>15</v>
      </c>
      <c r="M187" s="2">
        <f t="shared" si="0"/>
        <v>85</v>
      </c>
      <c r="N187" s="2">
        <v>0</v>
      </c>
      <c r="O187" s="7" t="s">
        <v>79</v>
      </c>
      <c r="P187" s="7" t="s">
        <v>79</v>
      </c>
      <c r="Q187" s="7" t="s">
        <v>79</v>
      </c>
      <c r="R187" s="7" t="s">
        <v>79</v>
      </c>
      <c r="S187" t="s">
        <v>113</v>
      </c>
      <c r="T187" s="7" t="str" cm="1">
        <f t="array" ref="T187">IF(ISNUMBER(MATCH(TRIM(A187)&amp;"", _xlfn._xlws.FILTER(TRIM(Project_Scores!$D$2:$D$300)&amp;"", Project_Scores!$I$2:$I$300=TRUE, ""), 0)), "حاضر", "غائب")</f>
        <v>غائب</v>
      </c>
      <c r="U187" s="2" t="str">
        <f t="shared" si="1"/>
        <v>4 من 6</v>
      </c>
      <c r="V187" s="21">
        <f t="shared" si="2"/>
        <v>0.66666666666666663</v>
      </c>
      <c r="W187" s="2">
        <f t="shared" si="3"/>
        <v>85</v>
      </c>
      <c r="X187" s="2">
        <v>125</v>
      </c>
      <c r="Y187" s="2">
        <f t="shared" si="4"/>
        <v>4</v>
      </c>
      <c r="Z187" s="2">
        <f t="shared" si="5"/>
        <v>6</v>
      </c>
      <c r="AA187">
        <f t="shared" si="8"/>
        <v>129</v>
      </c>
    </row>
    <row r="188" spans="1:27" ht="15.7" customHeight="1" x14ac:dyDescent="0.4">
      <c r="A188" s="2" t="s">
        <v>289</v>
      </c>
      <c r="B188" s="7" t="s">
        <v>288</v>
      </c>
      <c r="C188" s="2" t="s">
        <v>289</v>
      </c>
      <c r="D188" s="2" t="s">
        <v>39</v>
      </c>
      <c r="E188" s="2" t="s">
        <v>1378</v>
      </c>
      <c r="F188" s="2" t="s">
        <v>860</v>
      </c>
      <c r="G188" s="2" t="s">
        <v>1379</v>
      </c>
      <c r="H188" s="2" t="s">
        <v>859</v>
      </c>
      <c r="I188" s="7" t="s">
        <v>132</v>
      </c>
      <c r="J188" s="2">
        <v>40</v>
      </c>
      <c r="K188" s="2">
        <v>35</v>
      </c>
      <c r="L188" s="2">
        <v>0</v>
      </c>
      <c r="M188" s="2">
        <f t="shared" si="0"/>
        <v>75</v>
      </c>
      <c r="N188" s="2">
        <v>6</v>
      </c>
      <c r="O188" s="7" t="s">
        <v>79</v>
      </c>
      <c r="P188" s="7" t="s">
        <v>79</v>
      </c>
      <c r="Q188" s="7" t="s">
        <v>79</v>
      </c>
      <c r="R188" s="7" t="s">
        <v>79</v>
      </c>
      <c r="S188" t="s">
        <v>79</v>
      </c>
      <c r="T188" s="7" t="str" cm="1">
        <f t="array" ref="T188">IF(ISNUMBER(MATCH(TRIM(A188)&amp;"", _xlfn._xlws.FILTER(TRIM(Project_Scores!$D$2:$D$300)&amp;"", Project_Scores!$I$2:$I$300=TRUE, ""), 0)), "حاضر", "غائب")</f>
        <v>غائب</v>
      </c>
      <c r="U188" s="2" t="str">
        <f t="shared" si="1"/>
        <v>5 من 6</v>
      </c>
      <c r="V188" s="21">
        <f t="shared" si="2"/>
        <v>0.83333333333333337</v>
      </c>
      <c r="W188" s="2">
        <f t="shared" si="3"/>
        <v>81</v>
      </c>
      <c r="X188" s="2">
        <v>121</v>
      </c>
      <c r="Y188" s="2">
        <f t="shared" si="4"/>
        <v>5</v>
      </c>
      <c r="Z188" s="2">
        <f t="shared" si="5"/>
        <v>6</v>
      </c>
      <c r="AA188">
        <f t="shared" si="8"/>
        <v>126</v>
      </c>
    </row>
    <row r="189" spans="1:27" ht="15.7" customHeight="1" x14ac:dyDescent="0.4">
      <c r="A189" s="2" t="s">
        <v>681</v>
      </c>
      <c r="B189" s="7" t="s">
        <v>680</v>
      </c>
      <c r="C189" s="2" t="s">
        <v>681</v>
      </c>
      <c r="D189" s="2" t="s">
        <v>105</v>
      </c>
      <c r="E189" s="2" t="s">
        <v>1381</v>
      </c>
      <c r="F189" s="2" t="s">
        <v>1382</v>
      </c>
      <c r="G189" s="2" t="s">
        <v>1383</v>
      </c>
      <c r="H189" s="2" t="s">
        <v>1384</v>
      </c>
      <c r="I189" s="7" t="s">
        <v>132</v>
      </c>
      <c r="J189" s="2">
        <v>40</v>
      </c>
      <c r="K189" s="2">
        <v>28</v>
      </c>
      <c r="L189" s="2">
        <v>15</v>
      </c>
      <c r="M189" s="2">
        <f t="shared" si="0"/>
        <v>83</v>
      </c>
      <c r="N189" s="2">
        <v>0</v>
      </c>
      <c r="O189" s="7" t="s">
        <v>113</v>
      </c>
      <c r="P189" s="7" t="s">
        <v>79</v>
      </c>
      <c r="Q189" s="7" t="s">
        <v>79</v>
      </c>
      <c r="R189" s="7" t="s">
        <v>79</v>
      </c>
      <c r="S189" t="s">
        <v>79</v>
      </c>
      <c r="T189" s="7" t="str" cm="1">
        <f t="array" ref="T189">IF(ISNUMBER(MATCH(TRIM(A189)&amp;"", _xlfn._xlws.FILTER(TRIM(Project_Scores!$D$2:$D$300)&amp;"", Project_Scores!$I$2:$I$300=TRUE, ""), 0)), "حاضر", "غائب")</f>
        <v>غائب</v>
      </c>
      <c r="U189" s="2" t="str">
        <f t="shared" si="1"/>
        <v>4 من 6</v>
      </c>
      <c r="V189" s="21">
        <f t="shared" si="2"/>
        <v>0.66666666666666663</v>
      </c>
      <c r="W189" s="2">
        <f t="shared" si="3"/>
        <v>83</v>
      </c>
      <c r="X189" s="2">
        <v>113</v>
      </c>
      <c r="Y189" s="2">
        <f t="shared" si="4"/>
        <v>4</v>
      </c>
      <c r="Z189" s="2">
        <f t="shared" si="5"/>
        <v>6</v>
      </c>
      <c r="AA189">
        <f t="shared" si="8"/>
        <v>117</v>
      </c>
    </row>
    <row r="190" spans="1:27" ht="15.7" customHeight="1" x14ac:dyDescent="0.4">
      <c r="A190" s="2" t="s">
        <v>303</v>
      </c>
      <c r="B190" s="7" t="s">
        <v>301</v>
      </c>
      <c r="C190" s="2" t="s">
        <v>303</v>
      </c>
      <c r="D190" s="2" t="s">
        <v>39</v>
      </c>
      <c r="E190" s="2" t="s">
        <v>1385</v>
      </c>
      <c r="F190" s="2" t="s">
        <v>905</v>
      </c>
      <c r="G190" s="2" t="s">
        <v>1386</v>
      </c>
      <c r="H190" s="2" t="s">
        <v>904</v>
      </c>
      <c r="I190" s="2" t="s">
        <v>553</v>
      </c>
      <c r="J190" s="2">
        <v>55</v>
      </c>
      <c r="K190" s="2">
        <v>45</v>
      </c>
      <c r="L190" s="2">
        <v>38</v>
      </c>
      <c r="M190" s="2">
        <f t="shared" si="0"/>
        <v>138</v>
      </c>
      <c r="N190" s="2">
        <v>18</v>
      </c>
      <c r="O190" s="7" t="s">
        <v>79</v>
      </c>
      <c r="P190" s="7" t="s">
        <v>79</v>
      </c>
      <c r="Q190" s="7" t="s">
        <v>79</v>
      </c>
      <c r="R190" s="7" t="s">
        <v>79</v>
      </c>
      <c r="S190" t="s">
        <v>79</v>
      </c>
      <c r="T190" s="7" t="str" cm="1">
        <f t="array" ref="T190">IF(ISNUMBER(MATCH(TRIM(A190)&amp;"", _xlfn._xlws.FILTER(TRIM(Project_Scores!$D$2:$D$300)&amp;"", Project_Scores!$I$2:$I$300=TRUE, ""), 0)), "حاضر", "غائب")</f>
        <v>غائب</v>
      </c>
      <c r="U190" s="2" t="str">
        <f t="shared" si="1"/>
        <v>5 من 6</v>
      </c>
      <c r="V190" s="21">
        <f t="shared" si="2"/>
        <v>0.83333333333333337</v>
      </c>
      <c r="W190" s="2">
        <f t="shared" si="3"/>
        <v>156</v>
      </c>
      <c r="X190" s="2">
        <v>196</v>
      </c>
      <c r="Y190" s="2">
        <f t="shared" si="4"/>
        <v>5</v>
      </c>
      <c r="Z190" s="2">
        <f t="shared" si="5"/>
        <v>6</v>
      </c>
      <c r="AA190">
        <f t="shared" si="8"/>
        <v>201</v>
      </c>
    </row>
    <row r="191" spans="1:27" ht="15.7" customHeight="1" x14ac:dyDescent="0.4">
      <c r="A191" s="2" t="s">
        <v>1387</v>
      </c>
      <c r="B191" s="7" t="s">
        <v>1388</v>
      </c>
      <c r="C191" s="2" t="s">
        <v>1387</v>
      </c>
      <c r="D191" s="2" t="s">
        <v>105</v>
      </c>
      <c r="E191" s="2" t="s">
        <v>1389</v>
      </c>
      <c r="F191" s="2" t="s">
        <v>1390</v>
      </c>
      <c r="G191" s="2" t="s">
        <v>1391</v>
      </c>
      <c r="H191" s="2" t="s">
        <v>1392</v>
      </c>
      <c r="I191" s="7" t="s">
        <v>53</v>
      </c>
      <c r="J191" s="2">
        <v>0</v>
      </c>
      <c r="K191" s="2">
        <v>0</v>
      </c>
      <c r="L191" s="2">
        <v>0</v>
      </c>
      <c r="M191" s="2">
        <f t="shared" si="0"/>
        <v>0</v>
      </c>
      <c r="N191" s="2">
        <v>0</v>
      </c>
      <c r="O191" s="7" t="s">
        <v>113</v>
      </c>
      <c r="P191" s="7" t="s">
        <v>113</v>
      </c>
      <c r="Q191" s="7" t="s">
        <v>113</v>
      </c>
      <c r="R191" s="7" t="s">
        <v>113</v>
      </c>
      <c r="S191" t="s">
        <v>113</v>
      </c>
      <c r="T191" s="7" t="str" cm="1">
        <f t="array" ref="T191">IF(ISNUMBER(MATCH(TRIM(A191)&amp;"", _xlfn._xlws.FILTER(TRIM(Project_Scores!$D$2:$D$300)&amp;"", Project_Scores!$I$2:$I$300=TRUE, ""), 0)), "حاضر", "غائب")</f>
        <v>غائب</v>
      </c>
      <c r="U191" s="2" t="str">
        <f t="shared" si="1"/>
        <v>0 من 6</v>
      </c>
      <c r="V191" s="21">
        <f t="shared" si="2"/>
        <v>0</v>
      </c>
      <c r="W191" s="2">
        <f t="shared" si="3"/>
        <v>0</v>
      </c>
      <c r="X191" s="2">
        <v>0</v>
      </c>
      <c r="Y191" s="2">
        <f t="shared" si="4"/>
        <v>0</v>
      </c>
      <c r="Z191" s="2">
        <f t="shared" si="5"/>
        <v>6</v>
      </c>
      <c r="AA191">
        <f t="shared" si="8"/>
        <v>0</v>
      </c>
    </row>
    <row r="192" spans="1:27" ht="15.7" customHeight="1" x14ac:dyDescent="0.4">
      <c r="A192" s="2" t="s">
        <v>245</v>
      </c>
      <c r="B192" s="7" t="s">
        <v>244</v>
      </c>
      <c r="C192" s="2" t="s">
        <v>245</v>
      </c>
      <c r="D192" s="2" t="s">
        <v>105</v>
      </c>
      <c r="E192" s="2" t="s">
        <v>1393</v>
      </c>
      <c r="F192" s="2" t="s">
        <v>616</v>
      </c>
      <c r="G192" s="2" t="s">
        <v>616</v>
      </c>
      <c r="H192" s="2" t="s">
        <v>1394</v>
      </c>
      <c r="I192" s="7" t="s">
        <v>219</v>
      </c>
      <c r="J192" s="2">
        <v>40</v>
      </c>
      <c r="K192" s="2">
        <v>40</v>
      </c>
      <c r="L192" s="2">
        <v>20</v>
      </c>
      <c r="M192" s="2">
        <f t="shared" si="0"/>
        <v>100</v>
      </c>
      <c r="N192" s="2">
        <v>4</v>
      </c>
      <c r="O192" s="7" t="s">
        <v>79</v>
      </c>
      <c r="P192" s="7" t="s">
        <v>79</v>
      </c>
      <c r="Q192" s="7" t="s">
        <v>79</v>
      </c>
      <c r="R192" s="7" t="s">
        <v>79</v>
      </c>
      <c r="S192" t="s">
        <v>79</v>
      </c>
      <c r="T192" s="7" t="str" cm="1">
        <f t="array" ref="T192">IF(ISNUMBER(MATCH(TRIM(A192)&amp;"", _xlfn._xlws.FILTER(TRIM(Project_Scores!$D$2:$D$300)&amp;"", Project_Scores!$I$2:$I$300=TRUE, ""), 0)), "حاضر", "غائب")</f>
        <v>غائب</v>
      </c>
      <c r="U192" s="2" t="str">
        <f t="shared" si="1"/>
        <v>5 من 6</v>
      </c>
      <c r="V192" s="21">
        <f t="shared" si="2"/>
        <v>0.83333333333333337</v>
      </c>
      <c r="W192" s="2">
        <f t="shared" si="3"/>
        <v>104</v>
      </c>
      <c r="X192" s="2">
        <v>144</v>
      </c>
      <c r="Y192" s="2">
        <f t="shared" si="4"/>
        <v>5</v>
      </c>
      <c r="Z192" s="2">
        <f t="shared" si="5"/>
        <v>6</v>
      </c>
      <c r="AA192">
        <f t="shared" si="8"/>
        <v>149</v>
      </c>
    </row>
    <row r="193" spans="1:27" ht="15.7" customHeight="1" x14ac:dyDescent="0.4">
      <c r="A193" s="2" t="s">
        <v>250</v>
      </c>
      <c r="B193" s="7" t="s">
        <v>249</v>
      </c>
      <c r="C193" s="2" t="s">
        <v>250</v>
      </c>
      <c r="D193" s="2" t="s">
        <v>105</v>
      </c>
      <c r="E193" s="2" t="s">
        <v>1393</v>
      </c>
      <c r="F193" s="2" t="s">
        <v>637</v>
      </c>
      <c r="G193" s="2" t="s">
        <v>637</v>
      </c>
      <c r="H193" s="2" t="s">
        <v>1395</v>
      </c>
      <c r="I193" s="7" t="s">
        <v>219</v>
      </c>
      <c r="J193" s="2">
        <v>40</v>
      </c>
      <c r="K193" s="2">
        <v>40</v>
      </c>
      <c r="L193" s="2">
        <v>20</v>
      </c>
      <c r="M193" s="2">
        <f t="shared" si="0"/>
        <v>100</v>
      </c>
      <c r="N193" s="2">
        <v>2</v>
      </c>
      <c r="O193" s="7" t="s">
        <v>79</v>
      </c>
      <c r="P193" s="7" t="s">
        <v>79</v>
      </c>
      <c r="Q193" s="7" t="s">
        <v>79</v>
      </c>
      <c r="R193" s="7" t="s">
        <v>79</v>
      </c>
      <c r="S193" t="s">
        <v>79</v>
      </c>
      <c r="T193" s="7" t="str" cm="1">
        <f t="array" ref="T193">IF(ISNUMBER(MATCH(TRIM(A193)&amp;"", _xlfn._xlws.FILTER(TRIM(Project_Scores!$D$2:$D$300)&amp;"", Project_Scores!$I$2:$I$300=TRUE, ""), 0)), "حاضر", "غائب")</f>
        <v>غائب</v>
      </c>
      <c r="U193" s="2" t="str">
        <f t="shared" si="1"/>
        <v>5 من 6</v>
      </c>
      <c r="V193" s="21">
        <f t="shared" si="2"/>
        <v>0.83333333333333337</v>
      </c>
      <c r="W193" s="2">
        <f t="shared" si="3"/>
        <v>102</v>
      </c>
      <c r="X193" s="2">
        <v>142</v>
      </c>
      <c r="Y193" s="2">
        <f t="shared" si="4"/>
        <v>5</v>
      </c>
      <c r="Z193" s="2">
        <f t="shared" si="5"/>
        <v>6</v>
      </c>
      <c r="AA193">
        <f t="shared" si="8"/>
        <v>147</v>
      </c>
    </row>
    <row r="194" spans="1:27" ht="15.7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T194" s="2"/>
      <c r="U194" s="2"/>
      <c r="V194" s="2"/>
      <c r="W194" s="2"/>
      <c r="X194" s="2"/>
    </row>
    <row r="195" spans="1:27" ht="15.7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T195" s="2"/>
      <c r="U195" s="2"/>
      <c r="V195" s="2"/>
      <c r="W195" s="2"/>
      <c r="X195" s="2"/>
    </row>
    <row r="196" spans="1:27" ht="15.7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T196" s="2"/>
      <c r="U196" s="2"/>
      <c r="V196" s="2"/>
      <c r="W196" s="2"/>
      <c r="X196" s="2"/>
    </row>
    <row r="197" spans="1:27" ht="15.7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T197" s="2"/>
      <c r="U197" s="2"/>
      <c r="V197" s="2"/>
      <c r="W197" s="2"/>
      <c r="X197" s="2"/>
    </row>
    <row r="198" spans="1:27" ht="15.7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T198" s="2"/>
      <c r="U198" s="2"/>
      <c r="V198" s="2"/>
      <c r="W198" s="2"/>
      <c r="X198" s="2"/>
    </row>
    <row r="199" spans="1:27" ht="15.7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T199" s="2"/>
      <c r="U199" s="2"/>
      <c r="V199" s="2"/>
      <c r="W199" s="2"/>
      <c r="X199" s="2"/>
    </row>
    <row r="200" spans="1:27" ht="15.7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T200" s="2"/>
      <c r="U200" s="2"/>
      <c r="V200" s="2"/>
      <c r="W200" s="2"/>
      <c r="X200" s="2"/>
    </row>
    <row r="201" spans="1:27" ht="15.7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T201" s="2"/>
      <c r="U201" s="2"/>
      <c r="V201" s="2"/>
      <c r="W201" s="2"/>
      <c r="X201" s="2"/>
    </row>
    <row r="202" spans="1:27" ht="15.7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T202" s="2"/>
      <c r="U202" s="2"/>
      <c r="V202" s="2"/>
      <c r="W202" s="2"/>
      <c r="X202" s="2"/>
    </row>
    <row r="203" spans="1:27" ht="15.7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T203" s="2"/>
      <c r="U203" s="2"/>
      <c r="V203" s="2"/>
      <c r="W203" s="2"/>
      <c r="X203" s="2"/>
    </row>
    <row r="204" spans="1:27" ht="15.7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T204" s="2"/>
      <c r="U204" s="2"/>
      <c r="V204" s="2"/>
      <c r="W204" s="2"/>
      <c r="X204" s="2"/>
    </row>
    <row r="205" spans="1:27" ht="15.7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T205" s="2"/>
      <c r="U205" s="2"/>
      <c r="V205" s="2"/>
      <c r="W205" s="2"/>
      <c r="X205" s="2"/>
    </row>
    <row r="206" spans="1:27" ht="15.7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T206" s="2"/>
      <c r="U206" s="2"/>
      <c r="V206" s="2"/>
      <c r="W206" s="2"/>
      <c r="X206" s="2"/>
    </row>
    <row r="207" spans="1:27" ht="15.7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T207" s="2"/>
      <c r="U207" s="2"/>
      <c r="V207" s="2"/>
      <c r="W207" s="2"/>
      <c r="X207" s="2"/>
    </row>
    <row r="208" spans="1:27" ht="15.7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T208" s="2"/>
      <c r="U208" s="2"/>
      <c r="V208" s="2"/>
      <c r="W208" s="2"/>
      <c r="X208" s="2"/>
    </row>
    <row r="209" spans="1:24" ht="15.7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T209" s="2"/>
      <c r="U209" s="2"/>
      <c r="V209" s="2"/>
      <c r="W209" s="2"/>
      <c r="X209" s="2"/>
    </row>
    <row r="210" spans="1:24" ht="15.7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T210" s="2"/>
      <c r="U210" s="2"/>
      <c r="V210" s="2"/>
      <c r="W210" s="2"/>
      <c r="X210" s="2"/>
    </row>
    <row r="211" spans="1:24" ht="15.7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T211" s="2"/>
      <c r="U211" s="2"/>
      <c r="V211" s="2"/>
      <c r="W211" s="2"/>
      <c r="X211" s="2"/>
    </row>
    <row r="212" spans="1:24" ht="15.7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T212" s="2"/>
      <c r="U212" s="2"/>
      <c r="V212" s="2"/>
      <c r="W212" s="2"/>
      <c r="X212" s="2"/>
    </row>
    <row r="213" spans="1:24" ht="15.7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T213" s="2"/>
      <c r="U213" s="2"/>
      <c r="V213" s="2"/>
      <c r="W213" s="2"/>
      <c r="X213" s="2"/>
    </row>
    <row r="214" spans="1:24" ht="15.7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T214" s="2"/>
      <c r="U214" s="2"/>
      <c r="V214" s="2"/>
      <c r="W214" s="2"/>
      <c r="X214" s="2"/>
    </row>
    <row r="215" spans="1:24" ht="15.7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T215" s="2"/>
      <c r="U215" s="2"/>
      <c r="V215" s="2"/>
      <c r="W215" s="2"/>
      <c r="X215" s="2"/>
    </row>
    <row r="216" spans="1:24" ht="15.7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T216" s="2"/>
      <c r="U216" s="2"/>
      <c r="V216" s="2"/>
      <c r="W216" s="2"/>
      <c r="X216" s="2"/>
    </row>
    <row r="217" spans="1:24" ht="15.7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T217" s="2"/>
      <c r="U217" s="2"/>
      <c r="V217" s="2"/>
      <c r="W217" s="2"/>
      <c r="X217" s="2"/>
    </row>
    <row r="218" spans="1:24" ht="15.7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T218" s="2"/>
      <c r="U218" s="2"/>
      <c r="V218" s="2"/>
      <c r="W218" s="2"/>
      <c r="X218" s="2"/>
    </row>
    <row r="219" spans="1:24" ht="15.7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T219" s="2"/>
      <c r="U219" s="2"/>
      <c r="V219" s="2"/>
      <c r="W219" s="2"/>
      <c r="X219" s="2"/>
    </row>
    <row r="220" spans="1:24" ht="15.7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T220" s="2"/>
      <c r="U220" s="2"/>
      <c r="V220" s="2"/>
      <c r="W220" s="2"/>
      <c r="X220" s="2"/>
    </row>
    <row r="221" spans="1:24" ht="15.7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T221" s="2"/>
      <c r="U221" s="2"/>
      <c r="V221" s="2"/>
      <c r="W221" s="2"/>
      <c r="X221" s="2"/>
    </row>
    <row r="222" spans="1:24" ht="15.7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T222" s="2"/>
      <c r="U222" s="2"/>
      <c r="V222" s="2"/>
      <c r="W222" s="2"/>
      <c r="X222" s="2"/>
    </row>
    <row r="223" spans="1:24" ht="15.7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T223" s="2"/>
      <c r="U223" s="2"/>
      <c r="V223" s="2"/>
      <c r="W223" s="2"/>
      <c r="X223" s="2"/>
    </row>
    <row r="224" spans="1:24" ht="15.7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T224" s="2"/>
      <c r="U224" s="2"/>
      <c r="V224" s="2"/>
      <c r="W224" s="2"/>
      <c r="X224" s="2"/>
    </row>
    <row r="225" spans="1:24" ht="15.7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T225" s="2"/>
      <c r="U225" s="2"/>
      <c r="V225" s="2"/>
      <c r="W225" s="2"/>
      <c r="X225" s="2"/>
    </row>
    <row r="226" spans="1:24" ht="15.7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T226" s="2"/>
      <c r="U226" s="2"/>
      <c r="V226" s="2"/>
      <c r="W226" s="2"/>
      <c r="X226" s="2"/>
    </row>
    <row r="227" spans="1:24" ht="15.7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T227" s="2"/>
      <c r="U227" s="2"/>
      <c r="V227" s="2"/>
      <c r="W227" s="2"/>
      <c r="X227" s="2"/>
    </row>
    <row r="228" spans="1:24" ht="15.7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T228" s="2"/>
      <c r="U228" s="2"/>
      <c r="V228" s="2"/>
      <c r="W228" s="2"/>
      <c r="X228" s="2"/>
    </row>
    <row r="229" spans="1:24" ht="15.7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T229" s="2"/>
      <c r="U229" s="2"/>
      <c r="V229" s="2"/>
      <c r="W229" s="2"/>
      <c r="X229" s="2"/>
    </row>
    <row r="230" spans="1:24" ht="15.7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T230" s="2"/>
      <c r="U230" s="2"/>
      <c r="V230" s="2"/>
      <c r="W230" s="2"/>
      <c r="X230" s="2"/>
    </row>
    <row r="231" spans="1:24" ht="15.7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T231" s="2"/>
      <c r="U231" s="2"/>
      <c r="V231" s="2"/>
      <c r="W231" s="2"/>
      <c r="X231" s="2"/>
    </row>
    <row r="232" spans="1:24" ht="15.7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T232" s="2"/>
      <c r="U232" s="2"/>
      <c r="V232" s="2"/>
      <c r="W232" s="2"/>
      <c r="X232" s="2"/>
    </row>
    <row r="233" spans="1:24" ht="15.7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T233" s="2"/>
      <c r="U233" s="2"/>
      <c r="V233" s="2"/>
      <c r="W233" s="2"/>
      <c r="X233" s="2"/>
    </row>
    <row r="234" spans="1:24" ht="15.7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T234" s="2"/>
      <c r="U234" s="2"/>
      <c r="V234" s="2"/>
      <c r="W234" s="2"/>
      <c r="X234" s="2"/>
    </row>
    <row r="235" spans="1:24" ht="15.7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T235" s="2"/>
      <c r="U235" s="2"/>
      <c r="V235" s="2"/>
      <c r="W235" s="2"/>
      <c r="X235" s="2"/>
    </row>
    <row r="236" spans="1:24" ht="15.7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T236" s="2"/>
      <c r="U236" s="2"/>
      <c r="V236" s="2"/>
      <c r="W236" s="2"/>
      <c r="X236" s="2"/>
    </row>
    <row r="237" spans="1:24" ht="15.7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T237" s="2"/>
      <c r="U237" s="2"/>
      <c r="V237" s="2"/>
      <c r="W237" s="2"/>
      <c r="X237" s="2"/>
    </row>
    <row r="238" spans="1:24" ht="15.7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T238" s="2"/>
      <c r="U238" s="2"/>
      <c r="V238" s="2"/>
      <c r="W238" s="2"/>
      <c r="X238" s="2"/>
    </row>
    <row r="239" spans="1:24" ht="15.7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T239" s="2"/>
      <c r="U239" s="2"/>
      <c r="V239" s="2"/>
      <c r="W239" s="2"/>
      <c r="X239" s="2"/>
    </row>
    <row r="240" spans="1:24" ht="15.7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T240" s="2"/>
      <c r="U240" s="2"/>
      <c r="V240" s="2"/>
      <c r="W240" s="2"/>
      <c r="X240" s="2"/>
    </row>
    <row r="241" spans="1:24" ht="15.7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T241" s="2"/>
      <c r="U241" s="2"/>
      <c r="V241" s="2"/>
      <c r="W241" s="2"/>
      <c r="X241" s="2"/>
    </row>
    <row r="242" spans="1:24" ht="15.7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T242" s="2"/>
      <c r="U242" s="2"/>
      <c r="V242" s="2"/>
      <c r="W242" s="2"/>
      <c r="X242" s="2"/>
    </row>
    <row r="243" spans="1:24" ht="15.7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T243" s="2"/>
      <c r="U243" s="2"/>
      <c r="V243" s="2"/>
      <c r="W243" s="2"/>
      <c r="X243" s="2"/>
    </row>
    <row r="244" spans="1:24" ht="15.7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T244" s="2"/>
      <c r="U244" s="2"/>
      <c r="V244" s="2"/>
      <c r="W244" s="2"/>
      <c r="X244" s="2"/>
    </row>
    <row r="245" spans="1:24" ht="15.7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T245" s="2"/>
      <c r="U245" s="2"/>
      <c r="V245" s="2"/>
      <c r="W245" s="2"/>
      <c r="X245" s="2"/>
    </row>
    <row r="246" spans="1:24" ht="15.7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T246" s="2"/>
      <c r="U246" s="2"/>
      <c r="V246" s="2"/>
      <c r="W246" s="2"/>
      <c r="X246" s="2"/>
    </row>
    <row r="247" spans="1:24" ht="15.7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T247" s="2"/>
      <c r="U247" s="2"/>
      <c r="V247" s="2"/>
      <c r="W247" s="2"/>
      <c r="X247" s="2"/>
    </row>
    <row r="248" spans="1:24" ht="15.7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T248" s="2"/>
      <c r="U248" s="2"/>
      <c r="V248" s="2"/>
      <c r="W248" s="2"/>
      <c r="X248" s="2"/>
    </row>
    <row r="249" spans="1:24" ht="15.7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T249" s="2"/>
      <c r="U249" s="2"/>
      <c r="V249" s="2"/>
      <c r="W249" s="2"/>
      <c r="X249" s="2"/>
    </row>
    <row r="250" spans="1:24" ht="15.7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T250" s="2"/>
      <c r="U250" s="2"/>
      <c r="V250" s="2"/>
      <c r="W250" s="2"/>
      <c r="X250" s="2"/>
    </row>
    <row r="251" spans="1:24" ht="15.7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T251" s="2"/>
      <c r="U251" s="2"/>
      <c r="V251" s="2"/>
      <c r="W251" s="2"/>
      <c r="X251" s="2"/>
    </row>
    <row r="252" spans="1:24" ht="15.7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T252" s="2"/>
      <c r="U252" s="2"/>
      <c r="V252" s="2"/>
      <c r="W252" s="2"/>
      <c r="X252" s="2"/>
    </row>
    <row r="253" spans="1:24" ht="15.7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T253" s="2"/>
      <c r="U253" s="2"/>
      <c r="V253" s="2"/>
      <c r="W253" s="2"/>
      <c r="X253" s="2"/>
    </row>
    <row r="254" spans="1:24" ht="15.7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T254" s="2"/>
      <c r="U254" s="2"/>
      <c r="V254" s="2"/>
      <c r="W254" s="2"/>
      <c r="X254" s="2"/>
    </row>
    <row r="255" spans="1:24" ht="15.7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T255" s="2"/>
      <c r="U255" s="2"/>
      <c r="V255" s="2"/>
      <c r="W255" s="2"/>
      <c r="X255" s="2"/>
    </row>
    <row r="256" spans="1:24" ht="15.7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T256" s="2"/>
      <c r="U256" s="2"/>
      <c r="V256" s="2"/>
      <c r="W256" s="2"/>
      <c r="X256" s="2"/>
    </row>
    <row r="257" spans="1:24" ht="15.7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T257" s="2"/>
      <c r="U257" s="2"/>
      <c r="V257" s="2"/>
      <c r="W257" s="2"/>
      <c r="X257" s="2"/>
    </row>
    <row r="258" spans="1:24" ht="15.7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T258" s="2"/>
      <c r="U258" s="2"/>
      <c r="V258" s="2"/>
      <c r="W258" s="2"/>
      <c r="X258" s="2"/>
    </row>
    <row r="259" spans="1:24" ht="15.7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T259" s="2"/>
      <c r="U259" s="2"/>
      <c r="V259" s="2"/>
      <c r="W259" s="2"/>
      <c r="X259" s="2"/>
    </row>
    <row r="260" spans="1:24" ht="15.7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T260" s="2"/>
      <c r="U260" s="2"/>
      <c r="V260" s="2"/>
      <c r="W260" s="2"/>
      <c r="X260" s="2"/>
    </row>
    <row r="261" spans="1:24" ht="15.7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T261" s="2"/>
      <c r="U261" s="2"/>
      <c r="V261" s="2"/>
      <c r="W261" s="2"/>
      <c r="X261" s="2"/>
    </row>
    <row r="262" spans="1:24" ht="15.7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T262" s="2"/>
      <c r="U262" s="2"/>
      <c r="V262" s="2"/>
      <c r="W262" s="2"/>
      <c r="X262" s="2"/>
    </row>
    <row r="263" spans="1:24" ht="15.7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T263" s="2"/>
      <c r="U263" s="2"/>
      <c r="V263" s="2"/>
      <c r="W263" s="2"/>
      <c r="X263" s="2"/>
    </row>
    <row r="264" spans="1:24" ht="15.7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T264" s="2"/>
      <c r="U264" s="2"/>
      <c r="V264" s="2"/>
      <c r="W264" s="2"/>
      <c r="X264" s="2"/>
    </row>
    <row r="265" spans="1:24" ht="15.7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T265" s="2"/>
      <c r="U265" s="2"/>
      <c r="V265" s="2"/>
      <c r="W265" s="2"/>
      <c r="X265" s="2"/>
    </row>
    <row r="266" spans="1:24" ht="15.7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T266" s="2"/>
      <c r="U266" s="2"/>
      <c r="V266" s="2"/>
      <c r="W266" s="2"/>
      <c r="X266" s="2"/>
    </row>
    <row r="267" spans="1:24" ht="15.7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T267" s="2"/>
      <c r="U267" s="2"/>
      <c r="V267" s="2"/>
      <c r="W267" s="2"/>
      <c r="X267" s="2"/>
    </row>
    <row r="268" spans="1:24" ht="15.7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T268" s="2"/>
      <c r="U268" s="2"/>
      <c r="V268" s="2"/>
      <c r="W268" s="2"/>
      <c r="X268" s="2"/>
    </row>
    <row r="269" spans="1:24" ht="15.7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T269" s="2"/>
      <c r="U269" s="2"/>
      <c r="V269" s="2"/>
      <c r="W269" s="2"/>
      <c r="X269" s="2"/>
    </row>
    <row r="270" spans="1:24" ht="15.7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T270" s="2"/>
      <c r="U270" s="2"/>
      <c r="V270" s="2"/>
      <c r="W270" s="2"/>
      <c r="X270" s="2"/>
    </row>
    <row r="271" spans="1:24" ht="15.7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T271" s="2"/>
      <c r="U271" s="2"/>
      <c r="V271" s="2"/>
      <c r="W271" s="2"/>
      <c r="X271" s="2"/>
    </row>
    <row r="272" spans="1:24" ht="15.7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T272" s="2"/>
      <c r="U272" s="2"/>
      <c r="V272" s="2"/>
      <c r="W272" s="2"/>
      <c r="X272" s="2"/>
    </row>
    <row r="273" spans="1:24" ht="15.7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T273" s="2"/>
      <c r="U273" s="2"/>
      <c r="V273" s="2"/>
      <c r="W273" s="2"/>
      <c r="X273" s="2"/>
    </row>
    <row r="274" spans="1:24" ht="15.7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T274" s="2"/>
      <c r="U274" s="2"/>
      <c r="V274" s="2"/>
      <c r="W274" s="2"/>
      <c r="X274" s="2"/>
    </row>
    <row r="275" spans="1:24" ht="15.7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T275" s="2"/>
      <c r="U275" s="2"/>
      <c r="V275" s="2"/>
      <c r="W275" s="2"/>
      <c r="X275" s="2"/>
    </row>
    <row r="276" spans="1:24" ht="15.7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T276" s="2"/>
      <c r="U276" s="2"/>
      <c r="V276" s="2"/>
      <c r="W276" s="2"/>
      <c r="X276" s="2"/>
    </row>
    <row r="277" spans="1:24" ht="15.7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T277" s="2"/>
      <c r="U277" s="2"/>
      <c r="V277" s="2"/>
      <c r="W277" s="2"/>
      <c r="X277" s="2"/>
    </row>
    <row r="278" spans="1:24" ht="15.7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T278" s="2"/>
      <c r="U278" s="2"/>
      <c r="V278" s="2"/>
      <c r="W278" s="2"/>
      <c r="X278" s="2"/>
    </row>
    <row r="279" spans="1:24" ht="15.7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T279" s="2"/>
      <c r="U279" s="2"/>
      <c r="V279" s="2"/>
      <c r="W279" s="2"/>
      <c r="X279" s="2"/>
    </row>
    <row r="280" spans="1:24" ht="15.7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T280" s="2"/>
      <c r="U280" s="2"/>
      <c r="V280" s="2"/>
      <c r="W280" s="2"/>
      <c r="X280" s="2"/>
    </row>
    <row r="281" spans="1:24" ht="15.7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T281" s="2"/>
      <c r="U281" s="2"/>
      <c r="V281" s="2"/>
      <c r="W281" s="2"/>
      <c r="X281" s="2"/>
    </row>
    <row r="282" spans="1:24" ht="15.7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T282" s="2"/>
      <c r="U282" s="2"/>
      <c r="V282" s="2"/>
      <c r="W282" s="2"/>
      <c r="X282" s="2"/>
    </row>
    <row r="283" spans="1:24" ht="15.7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T283" s="2"/>
      <c r="U283" s="2"/>
      <c r="V283" s="2"/>
      <c r="W283" s="2"/>
      <c r="X283" s="2"/>
    </row>
    <row r="284" spans="1:24" ht="15.7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T284" s="2"/>
      <c r="U284" s="2"/>
      <c r="V284" s="2"/>
      <c r="W284" s="2"/>
      <c r="X284" s="2"/>
    </row>
    <row r="285" spans="1:24" ht="15.7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T285" s="2"/>
      <c r="U285" s="2"/>
      <c r="V285" s="2"/>
      <c r="W285" s="2"/>
      <c r="X285" s="2"/>
    </row>
    <row r="286" spans="1:24" ht="15.7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T286" s="2"/>
      <c r="U286" s="2"/>
      <c r="V286" s="2"/>
      <c r="W286" s="2"/>
      <c r="X286" s="2"/>
    </row>
    <row r="287" spans="1:24" ht="15.7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T287" s="2"/>
      <c r="U287" s="2"/>
      <c r="V287" s="2"/>
      <c r="W287" s="2"/>
      <c r="X287" s="2"/>
    </row>
    <row r="288" spans="1:24" ht="15.7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T288" s="2"/>
      <c r="U288" s="2"/>
      <c r="V288" s="2"/>
      <c r="W288" s="2"/>
      <c r="X288" s="2"/>
    </row>
    <row r="289" spans="1:24" ht="15.7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T289" s="2"/>
      <c r="U289" s="2"/>
      <c r="V289" s="2"/>
      <c r="W289" s="2"/>
      <c r="X289" s="2"/>
    </row>
    <row r="290" spans="1:24" ht="15.7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T290" s="2"/>
      <c r="U290" s="2"/>
      <c r="V290" s="2"/>
      <c r="W290" s="2"/>
      <c r="X290" s="2"/>
    </row>
    <row r="291" spans="1:24" ht="15.7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T291" s="2"/>
      <c r="U291" s="2"/>
      <c r="V291" s="2"/>
      <c r="W291" s="2"/>
      <c r="X291" s="2"/>
    </row>
    <row r="292" spans="1:24" ht="15.7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T292" s="2"/>
      <c r="U292" s="2"/>
      <c r="V292" s="2"/>
      <c r="W292" s="2"/>
      <c r="X292" s="2"/>
    </row>
    <row r="293" spans="1:24" ht="15.7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T293" s="2"/>
      <c r="U293" s="2"/>
      <c r="V293" s="2"/>
      <c r="W293" s="2"/>
      <c r="X293" s="2"/>
    </row>
    <row r="294" spans="1:24" ht="15.7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T294" s="2"/>
      <c r="U294" s="2"/>
      <c r="V294" s="2"/>
      <c r="W294" s="2"/>
      <c r="X294" s="2"/>
    </row>
    <row r="295" spans="1:24" ht="15.7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T295" s="2"/>
      <c r="U295" s="2"/>
      <c r="V295" s="2"/>
      <c r="W295" s="2"/>
      <c r="X295" s="2"/>
    </row>
    <row r="296" spans="1:24" ht="15.7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T296" s="2"/>
      <c r="U296" s="2"/>
      <c r="V296" s="2"/>
      <c r="W296" s="2"/>
      <c r="X296" s="2"/>
    </row>
    <row r="297" spans="1:24" ht="15.7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T297" s="2"/>
      <c r="U297" s="2"/>
      <c r="V297" s="2"/>
      <c r="W297" s="2"/>
      <c r="X297" s="2"/>
    </row>
    <row r="298" spans="1:24" ht="15.7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T298" s="2"/>
      <c r="U298" s="2"/>
      <c r="V298" s="2"/>
      <c r="W298" s="2"/>
      <c r="X298" s="2"/>
    </row>
    <row r="299" spans="1:24" ht="15.7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T299" s="2"/>
      <c r="U299" s="2"/>
      <c r="V299" s="2"/>
      <c r="W299" s="2"/>
      <c r="X299" s="2"/>
    </row>
    <row r="300" spans="1:24" ht="15.7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T300" s="2"/>
      <c r="U300" s="2"/>
      <c r="V300" s="2"/>
      <c r="W300" s="2"/>
      <c r="X300" s="2"/>
    </row>
    <row r="301" spans="1:24" ht="15.7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T301" s="2"/>
      <c r="U301" s="2"/>
      <c r="V301" s="2"/>
      <c r="W301" s="2"/>
      <c r="X301" s="2"/>
    </row>
    <row r="302" spans="1:24" ht="15.7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T302" s="2"/>
      <c r="U302" s="2"/>
      <c r="V302" s="2"/>
      <c r="W302" s="2"/>
      <c r="X302" s="2"/>
    </row>
    <row r="303" spans="1:24" ht="15.7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T303" s="2"/>
      <c r="U303" s="2"/>
      <c r="V303" s="2"/>
      <c r="W303" s="2"/>
      <c r="X303" s="2"/>
    </row>
    <row r="304" spans="1:24" ht="15.7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T304" s="2"/>
      <c r="U304" s="2"/>
      <c r="V304" s="2"/>
      <c r="W304" s="2"/>
      <c r="X304" s="2"/>
    </row>
    <row r="305" spans="1:24" ht="15.7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T305" s="2"/>
      <c r="U305" s="2"/>
      <c r="V305" s="2"/>
      <c r="W305" s="2"/>
      <c r="X305" s="2"/>
    </row>
    <row r="306" spans="1:24" ht="15.7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T306" s="2"/>
      <c r="U306" s="2"/>
      <c r="V306" s="2"/>
      <c r="W306" s="2"/>
      <c r="X306" s="2"/>
    </row>
    <row r="307" spans="1:24" ht="15.7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T307" s="2"/>
      <c r="U307" s="2"/>
      <c r="V307" s="2"/>
      <c r="W307" s="2"/>
      <c r="X307" s="2"/>
    </row>
    <row r="308" spans="1:24" ht="15.7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T308" s="2"/>
      <c r="U308" s="2"/>
      <c r="V308" s="2"/>
      <c r="W308" s="2"/>
      <c r="X308" s="2"/>
    </row>
    <row r="309" spans="1:24" ht="15.7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T309" s="2"/>
      <c r="U309" s="2"/>
      <c r="V309" s="2"/>
      <c r="W309" s="2"/>
      <c r="X309" s="2"/>
    </row>
    <row r="310" spans="1:24" ht="15.7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T310" s="2"/>
      <c r="U310" s="2"/>
      <c r="V310" s="2"/>
      <c r="W310" s="2"/>
      <c r="X310" s="2"/>
    </row>
    <row r="311" spans="1:24" ht="15.7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T311" s="2"/>
      <c r="U311" s="2"/>
      <c r="V311" s="2"/>
      <c r="W311" s="2"/>
      <c r="X311" s="2"/>
    </row>
    <row r="312" spans="1:24" ht="15.7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T312" s="2"/>
      <c r="U312" s="2"/>
      <c r="V312" s="2"/>
      <c r="W312" s="2"/>
      <c r="X312" s="2"/>
    </row>
    <row r="313" spans="1:24" ht="15.7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T313" s="2"/>
      <c r="U313" s="2"/>
      <c r="V313" s="2"/>
      <c r="W313" s="2"/>
      <c r="X313" s="2"/>
    </row>
    <row r="314" spans="1:24" ht="15.7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T314" s="2"/>
      <c r="U314" s="2"/>
      <c r="V314" s="2"/>
      <c r="W314" s="2"/>
      <c r="X314" s="2"/>
    </row>
    <row r="315" spans="1:24" ht="15.7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T315" s="2"/>
      <c r="U315" s="2"/>
      <c r="V315" s="2"/>
      <c r="W315" s="2"/>
      <c r="X315" s="2"/>
    </row>
    <row r="316" spans="1:24" ht="15.7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T316" s="2"/>
      <c r="U316" s="2"/>
      <c r="V316" s="2"/>
      <c r="W316" s="2"/>
      <c r="X316" s="2"/>
    </row>
    <row r="317" spans="1:24" ht="15.7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T317" s="2"/>
      <c r="U317" s="2"/>
      <c r="V317" s="2"/>
      <c r="W317" s="2"/>
      <c r="X317" s="2"/>
    </row>
    <row r="318" spans="1:24" ht="15.7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T318" s="2"/>
      <c r="U318" s="2"/>
      <c r="V318" s="2"/>
      <c r="W318" s="2"/>
      <c r="X318" s="2"/>
    </row>
    <row r="319" spans="1:24" ht="15.7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T319" s="2"/>
      <c r="U319" s="2"/>
      <c r="V319" s="2"/>
      <c r="W319" s="2"/>
      <c r="X319" s="2"/>
    </row>
    <row r="320" spans="1:24" ht="15.7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T320" s="2"/>
      <c r="U320" s="2"/>
      <c r="V320" s="2"/>
      <c r="W320" s="2"/>
      <c r="X320" s="2"/>
    </row>
    <row r="321" spans="1:24" ht="15.7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T321" s="2"/>
      <c r="U321" s="2"/>
      <c r="V321" s="2"/>
      <c r="W321" s="2"/>
      <c r="X321" s="2"/>
    </row>
    <row r="322" spans="1:24" ht="15.7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T322" s="2"/>
      <c r="U322" s="2"/>
      <c r="V322" s="2"/>
      <c r="W322" s="2"/>
      <c r="X322" s="2"/>
    </row>
    <row r="323" spans="1:24" ht="15.7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T323" s="2"/>
      <c r="U323" s="2"/>
      <c r="V323" s="2"/>
      <c r="W323" s="2"/>
      <c r="X323" s="2"/>
    </row>
    <row r="324" spans="1:24" ht="15.7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T324" s="2"/>
      <c r="U324" s="2"/>
      <c r="V324" s="2"/>
      <c r="W324" s="2"/>
      <c r="X324" s="2"/>
    </row>
    <row r="325" spans="1:24" ht="15.7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T325" s="2"/>
      <c r="U325" s="2"/>
      <c r="V325" s="2"/>
      <c r="W325" s="2"/>
      <c r="X325" s="2"/>
    </row>
    <row r="326" spans="1:24" ht="15.7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T326" s="2"/>
      <c r="U326" s="2"/>
      <c r="V326" s="2"/>
      <c r="W326" s="2"/>
      <c r="X326" s="2"/>
    </row>
    <row r="327" spans="1:24" ht="15.7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T327" s="2"/>
      <c r="U327" s="2"/>
      <c r="V327" s="2"/>
      <c r="W327" s="2"/>
      <c r="X327" s="2"/>
    </row>
    <row r="328" spans="1:24" ht="15.7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T328" s="2"/>
      <c r="U328" s="2"/>
      <c r="V328" s="2"/>
      <c r="W328" s="2"/>
      <c r="X328" s="2"/>
    </row>
    <row r="329" spans="1:24" ht="15.7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T329" s="2"/>
      <c r="U329" s="2"/>
      <c r="V329" s="2"/>
      <c r="W329" s="2"/>
      <c r="X329" s="2"/>
    </row>
    <row r="330" spans="1:24" ht="15.7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T330" s="2"/>
      <c r="U330" s="2"/>
      <c r="V330" s="2"/>
      <c r="W330" s="2"/>
      <c r="X330" s="2"/>
    </row>
    <row r="331" spans="1:24" ht="15.7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T331" s="2"/>
      <c r="U331" s="2"/>
      <c r="V331" s="2"/>
      <c r="W331" s="2"/>
      <c r="X331" s="2"/>
    </row>
    <row r="332" spans="1:24" ht="15.7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T332" s="2"/>
      <c r="U332" s="2"/>
      <c r="V332" s="2"/>
      <c r="W332" s="2"/>
      <c r="X332" s="2"/>
    </row>
    <row r="333" spans="1:24" ht="15.7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T333" s="2"/>
      <c r="U333" s="2"/>
      <c r="V333" s="2"/>
      <c r="W333" s="2"/>
      <c r="X333" s="2"/>
    </row>
    <row r="334" spans="1:24" ht="15.7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T334" s="2"/>
      <c r="U334" s="2"/>
      <c r="V334" s="2"/>
      <c r="W334" s="2"/>
      <c r="X334" s="2"/>
    </row>
    <row r="335" spans="1:24" ht="15.7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T335" s="2"/>
      <c r="U335" s="2"/>
      <c r="V335" s="2"/>
      <c r="W335" s="2"/>
      <c r="X335" s="2"/>
    </row>
    <row r="336" spans="1:24" ht="15.7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T336" s="2"/>
      <c r="U336" s="2"/>
      <c r="V336" s="2"/>
      <c r="W336" s="2"/>
      <c r="X336" s="2"/>
    </row>
    <row r="337" spans="1:24" ht="15.7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T337" s="2"/>
      <c r="U337" s="2"/>
      <c r="V337" s="2"/>
      <c r="W337" s="2"/>
      <c r="X337" s="2"/>
    </row>
    <row r="338" spans="1:24" ht="15.7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T338" s="2"/>
      <c r="U338" s="2"/>
      <c r="V338" s="2"/>
      <c r="W338" s="2"/>
      <c r="X338" s="2"/>
    </row>
    <row r="339" spans="1:24" ht="15.7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T339" s="2"/>
      <c r="U339" s="2"/>
      <c r="V339" s="2"/>
      <c r="W339" s="2"/>
      <c r="X339" s="2"/>
    </row>
    <row r="340" spans="1:24" ht="15.7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T340" s="2"/>
      <c r="U340" s="2"/>
      <c r="V340" s="2"/>
      <c r="W340" s="2"/>
      <c r="X340" s="2"/>
    </row>
    <row r="341" spans="1:24" ht="15.7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T341" s="2"/>
      <c r="U341" s="2"/>
      <c r="V341" s="2"/>
      <c r="W341" s="2"/>
      <c r="X341" s="2"/>
    </row>
    <row r="342" spans="1:24" ht="15.7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T342" s="2"/>
      <c r="U342" s="2"/>
      <c r="V342" s="2"/>
      <c r="W342" s="2"/>
      <c r="X342" s="2"/>
    </row>
    <row r="343" spans="1:24" ht="15.7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T343" s="2"/>
      <c r="U343" s="2"/>
      <c r="V343" s="2"/>
      <c r="W343" s="2"/>
      <c r="X343" s="2"/>
    </row>
    <row r="344" spans="1:24" ht="15.7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T344" s="2"/>
      <c r="U344" s="2"/>
      <c r="V344" s="2"/>
      <c r="W344" s="2"/>
      <c r="X344" s="2"/>
    </row>
    <row r="345" spans="1:24" ht="15.7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T345" s="2"/>
      <c r="U345" s="2"/>
      <c r="V345" s="2"/>
      <c r="W345" s="2"/>
      <c r="X345" s="2"/>
    </row>
    <row r="346" spans="1:24" ht="15.7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T346" s="2"/>
      <c r="U346" s="2"/>
      <c r="V346" s="2"/>
      <c r="W346" s="2"/>
      <c r="X346" s="2"/>
    </row>
    <row r="347" spans="1:24" ht="15.7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T347" s="2"/>
      <c r="U347" s="2"/>
      <c r="V347" s="2"/>
      <c r="W347" s="2"/>
      <c r="X347" s="2"/>
    </row>
    <row r="348" spans="1:24" ht="15.7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T348" s="2"/>
      <c r="U348" s="2"/>
      <c r="V348" s="2"/>
      <c r="W348" s="2"/>
      <c r="X348" s="2"/>
    </row>
    <row r="349" spans="1:24" ht="15.7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T349" s="2"/>
      <c r="U349" s="2"/>
      <c r="V349" s="2"/>
      <c r="W349" s="2"/>
      <c r="X349" s="2"/>
    </row>
    <row r="350" spans="1:24" ht="15.7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T350" s="2"/>
      <c r="U350" s="2"/>
      <c r="V350" s="2"/>
      <c r="W350" s="2"/>
      <c r="X350" s="2"/>
    </row>
    <row r="351" spans="1:24" ht="15.7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T351" s="2"/>
      <c r="U351" s="2"/>
      <c r="V351" s="2"/>
      <c r="W351" s="2"/>
      <c r="X351" s="2"/>
    </row>
    <row r="352" spans="1:24" ht="15.7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T352" s="2"/>
      <c r="U352" s="2"/>
      <c r="V352" s="2"/>
      <c r="W352" s="2"/>
      <c r="X352" s="2"/>
    </row>
    <row r="353" spans="1:24" ht="15.7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T353" s="2"/>
      <c r="U353" s="2"/>
      <c r="V353" s="2"/>
      <c r="W353" s="2"/>
      <c r="X353" s="2"/>
    </row>
    <row r="354" spans="1:24" ht="15.7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T354" s="2"/>
      <c r="U354" s="2"/>
      <c r="V354" s="2"/>
      <c r="W354" s="2"/>
      <c r="X354" s="2"/>
    </row>
    <row r="355" spans="1:24" ht="15.7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T355" s="2"/>
      <c r="U355" s="2"/>
      <c r="V355" s="2"/>
      <c r="W355" s="2"/>
      <c r="X355" s="2"/>
    </row>
    <row r="356" spans="1:24" ht="15.7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T356" s="2"/>
      <c r="U356" s="2"/>
      <c r="V356" s="2"/>
      <c r="W356" s="2"/>
      <c r="X356" s="2"/>
    </row>
    <row r="357" spans="1:24" ht="15.7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T357" s="2"/>
      <c r="U357" s="2"/>
      <c r="V357" s="2"/>
      <c r="W357" s="2"/>
      <c r="X357" s="2"/>
    </row>
    <row r="358" spans="1:24" ht="15.7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T358" s="2"/>
      <c r="U358" s="2"/>
      <c r="V358" s="2"/>
      <c r="W358" s="2"/>
      <c r="X358" s="2"/>
    </row>
    <row r="359" spans="1:24" ht="15.7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T359" s="2"/>
      <c r="U359" s="2"/>
      <c r="V359" s="2"/>
      <c r="W359" s="2"/>
      <c r="X359" s="2"/>
    </row>
    <row r="360" spans="1:24" ht="15.7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T360" s="2"/>
      <c r="U360" s="2"/>
      <c r="V360" s="2"/>
      <c r="W360" s="2"/>
      <c r="X360" s="2"/>
    </row>
    <row r="361" spans="1:24" ht="15.7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T361" s="2"/>
      <c r="U361" s="2"/>
      <c r="V361" s="2"/>
      <c r="W361" s="2"/>
      <c r="X361" s="2"/>
    </row>
    <row r="362" spans="1:24" ht="15.7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T362" s="2"/>
      <c r="U362" s="2"/>
      <c r="V362" s="2"/>
      <c r="W362" s="2"/>
      <c r="X362" s="2"/>
    </row>
    <row r="363" spans="1:24" ht="15.7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T363" s="2"/>
      <c r="U363" s="2"/>
      <c r="V363" s="2"/>
      <c r="W363" s="2"/>
      <c r="X363" s="2"/>
    </row>
    <row r="364" spans="1:24" ht="15.7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T364" s="2"/>
      <c r="U364" s="2"/>
      <c r="V364" s="2"/>
      <c r="W364" s="2"/>
      <c r="X364" s="2"/>
    </row>
    <row r="365" spans="1:24" ht="15.7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T365" s="2"/>
      <c r="U365" s="2"/>
      <c r="V365" s="2"/>
      <c r="W365" s="2"/>
      <c r="X365" s="2"/>
    </row>
    <row r="366" spans="1:24" ht="15.7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T366" s="2"/>
      <c r="U366" s="2"/>
      <c r="V366" s="2"/>
      <c r="W366" s="2"/>
      <c r="X366" s="2"/>
    </row>
    <row r="367" spans="1:24" ht="15.7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T367" s="2"/>
      <c r="U367" s="2"/>
      <c r="V367" s="2"/>
      <c r="W367" s="2"/>
      <c r="X367" s="2"/>
    </row>
    <row r="368" spans="1:24" ht="15.7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T368" s="2"/>
      <c r="U368" s="2"/>
      <c r="V368" s="2"/>
      <c r="W368" s="2"/>
      <c r="X368" s="2"/>
    </row>
    <row r="369" spans="1:24" ht="15.7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T369" s="2"/>
      <c r="U369" s="2"/>
      <c r="V369" s="2"/>
      <c r="W369" s="2"/>
      <c r="X369" s="2"/>
    </row>
    <row r="370" spans="1:24" ht="15.7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T370" s="2"/>
      <c r="U370" s="2"/>
      <c r="V370" s="2"/>
      <c r="W370" s="2"/>
      <c r="X370" s="2"/>
    </row>
    <row r="371" spans="1:24" ht="15.7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T371" s="2"/>
      <c r="U371" s="2"/>
      <c r="V371" s="2"/>
      <c r="W371" s="2"/>
      <c r="X371" s="2"/>
    </row>
    <row r="372" spans="1:24" ht="15.7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T372" s="2"/>
      <c r="U372" s="2"/>
      <c r="V372" s="2"/>
      <c r="W372" s="2"/>
      <c r="X372" s="2"/>
    </row>
    <row r="373" spans="1:24" ht="15.7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T373" s="2"/>
      <c r="U373" s="2"/>
      <c r="V373" s="2"/>
      <c r="W373" s="2"/>
      <c r="X373" s="2"/>
    </row>
    <row r="374" spans="1:24" ht="15.7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T374" s="2"/>
      <c r="U374" s="2"/>
      <c r="V374" s="2"/>
      <c r="W374" s="2"/>
      <c r="X374" s="2"/>
    </row>
    <row r="375" spans="1:24" ht="15.7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T375" s="2"/>
      <c r="U375" s="2"/>
      <c r="V375" s="2"/>
      <c r="W375" s="2"/>
      <c r="X375" s="2"/>
    </row>
    <row r="376" spans="1:24" ht="15.7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T376" s="2"/>
      <c r="U376" s="2"/>
      <c r="V376" s="2"/>
      <c r="W376" s="2"/>
      <c r="X376" s="2"/>
    </row>
    <row r="377" spans="1:24" ht="15.7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T377" s="2"/>
      <c r="U377" s="2"/>
      <c r="V377" s="2"/>
      <c r="W377" s="2"/>
      <c r="X377" s="2"/>
    </row>
    <row r="378" spans="1:24" ht="15.7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T378" s="2"/>
      <c r="U378" s="2"/>
      <c r="V378" s="2"/>
      <c r="W378" s="2"/>
      <c r="X378" s="2"/>
    </row>
    <row r="379" spans="1:24" ht="15.7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T379" s="2"/>
      <c r="U379" s="2"/>
      <c r="V379" s="2"/>
      <c r="W379" s="2"/>
      <c r="X379" s="2"/>
    </row>
    <row r="380" spans="1:24" ht="15.7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T380" s="2"/>
      <c r="U380" s="2"/>
      <c r="V380" s="2"/>
      <c r="W380" s="2"/>
      <c r="X380" s="2"/>
    </row>
    <row r="381" spans="1:24" ht="15.7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T381" s="2"/>
      <c r="U381" s="2"/>
      <c r="V381" s="2"/>
      <c r="W381" s="2"/>
      <c r="X381" s="2"/>
    </row>
    <row r="382" spans="1:24" ht="15.7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T382" s="2"/>
      <c r="U382" s="2"/>
      <c r="V382" s="2"/>
      <c r="W382" s="2"/>
      <c r="X382" s="2"/>
    </row>
    <row r="383" spans="1:24" ht="15.7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T383" s="2"/>
      <c r="U383" s="2"/>
      <c r="V383" s="2"/>
      <c r="W383" s="2"/>
      <c r="X383" s="2"/>
    </row>
    <row r="384" spans="1:24" ht="15.7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T384" s="2"/>
      <c r="U384" s="2"/>
      <c r="V384" s="2"/>
      <c r="W384" s="2"/>
      <c r="X384" s="2"/>
    </row>
    <row r="385" spans="1:24" ht="15.7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T385" s="2"/>
      <c r="U385" s="2"/>
      <c r="V385" s="2"/>
      <c r="W385" s="2"/>
      <c r="X385" s="2"/>
    </row>
    <row r="386" spans="1:24" ht="15.7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T386" s="2"/>
      <c r="U386" s="2"/>
      <c r="V386" s="2"/>
      <c r="W386" s="2"/>
      <c r="X386" s="2"/>
    </row>
    <row r="387" spans="1:24" ht="15.7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T387" s="2"/>
      <c r="U387" s="2"/>
      <c r="V387" s="2"/>
      <c r="W387" s="2"/>
      <c r="X387" s="2"/>
    </row>
    <row r="388" spans="1:24" ht="15.7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T388" s="2"/>
      <c r="U388" s="2"/>
      <c r="V388" s="2"/>
      <c r="W388" s="2"/>
      <c r="X388" s="2"/>
    </row>
    <row r="389" spans="1:24" ht="15.7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T389" s="2"/>
      <c r="U389" s="2"/>
      <c r="V389" s="2"/>
      <c r="W389" s="2"/>
      <c r="X389" s="2"/>
    </row>
    <row r="390" spans="1:24" ht="15.7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T390" s="2"/>
      <c r="U390" s="2"/>
      <c r="V390" s="2"/>
      <c r="W390" s="2"/>
      <c r="X390" s="2"/>
    </row>
    <row r="391" spans="1:24" ht="15.7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T391" s="2"/>
      <c r="U391" s="2"/>
      <c r="V391" s="2"/>
      <c r="W391" s="2"/>
      <c r="X391" s="2"/>
    </row>
    <row r="392" spans="1:24" ht="15.7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T392" s="2"/>
      <c r="U392" s="2"/>
      <c r="V392" s="2"/>
      <c r="W392" s="2"/>
      <c r="X392" s="2"/>
    </row>
    <row r="393" spans="1:24" ht="15.7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T393" s="2"/>
      <c r="U393" s="2"/>
      <c r="V393" s="2"/>
      <c r="W393" s="2"/>
      <c r="X393" s="2"/>
    </row>
    <row r="394" spans="1:24" ht="15.7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T394" s="2"/>
      <c r="U394" s="2"/>
      <c r="V394" s="2"/>
      <c r="W394" s="2"/>
      <c r="X394" s="2"/>
    </row>
    <row r="395" spans="1:24" ht="15.7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T395" s="2"/>
      <c r="U395" s="2"/>
      <c r="V395" s="2"/>
      <c r="W395" s="2"/>
      <c r="X395" s="2"/>
    </row>
    <row r="396" spans="1:24" ht="15.7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T396" s="2"/>
      <c r="U396" s="2"/>
      <c r="V396" s="2"/>
      <c r="W396" s="2"/>
      <c r="X396" s="2"/>
    </row>
    <row r="397" spans="1:24" ht="15.7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T397" s="2"/>
      <c r="U397" s="2"/>
      <c r="V397" s="2"/>
      <c r="W397" s="2"/>
      <c r="X397" s="2"/>
    </row>
    <row r="398" spans="1:24" ht="15.7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T398" s="2"/>
      <c r="U398" s="2"/>
      <c r="V398" s="2"/>
      <c r="W398" s="2"/>
      <c r="X398" s="2"/>
    </row>
    <row r="399" spans="1:24" ht="15.7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T399" s="2"/>
      <c r="U399" s="2"/>
      <c r="V399" s="2"/>
      <c r="W399" s="2"/>
      <c r="X399" s="2"/>
    </row>
    <row r="400" spans="1:24" ht="15.7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T400" s="2"/>
      <c r="U400" s="2"/>
      <c r="V400" s="2"/>
      <c r="W400" s="2"/>
      <c r="X400" s="2"/>
    </row>
    <row r="401" spans="1:24" ht="15.7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T401" s="2"/>
      <c r="U401" s="2"/>
      <c r="V401" s="2"/>
      <c r="W401" s="2"/>
      <c r="X401" s="2"/>
    </row>
    <row r="402" spans="1:24" ht="15.7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T402" s="2"/>
      <c r="U402" s="2"/>
      <c r="V402" s="2"/>
      <c r="W402" s="2"/>
      <c r="X402" s="2"/>
    </row>
    <row r="403" spans="1:24" ht="15.7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T403" s="2"/>
      <c r="U403" s="2"/>
      <c r="V403" s="2"/>
      <c r="W403" s="2"/>
      <c r="X403" s="2"/>
    </row>
    <row r="404" spans="1:24" ht="15.7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T404" s="2"/>
      <c r="U404" s="2"/>
      <c r="V404" s="2"/>
      <c r="W404" s="2"/>
      <c r="X404" s="2"/>
    </row>
    <row r="405" spans="1:24" ht="15.7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T405" s="2"/>
      <c r="U405" s="2"/>
      <c r="V405" s="2"/>
      <c r="W405" s="2"/>
      <c r="X405" s="2"/>
    </row>
    <row r="406" spans="1:24" ht="15.7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T406" s="2"/>
      <c r="U406" s="2"/>
      <c r="V406" s="2"/>
      <c r="W406" s="2"/>
      <c r="X406" s="2"/>
    </row>
    <row r="407" spans="1:24" ht="15.7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T407" s="2"/>
      <c r="U407" s="2"/>
      <c r="V407" s="2"/>
      <c r="W407" s="2"/>
      <c r="X407" s="2"/>
    </row>
    <row r="408" spans="1:24" ht="15.7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T408" s="2"/>
      <c r="U408" s="2"/>
      <c r="V408" s="2"/>
      <c r="W408" s="2"/>
      <c r="X408" s="2"/>
    </row>
    <row r="409" spans="1:24" ht="15.7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T409" s="2"/>
      <c r="U409" s="2"/>
      <c r="V409" s="2"/>
      <c r="W409" s="2"/>
      <c r="X409" s="2"/>
    </row>
    <row r="410" spans="1:24" ht="15.7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T410" s="2"/>
      <c r="U410" s="2"/>
      <c r="V410" s="2"/>
      <c r="W410" s="2"/>
      <c r="X410" s="2"/>
    </row>
    <row r="411" spans="1:24" ht="15.7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T411" s="2"/>
      <c r="U411" s="2"/>
      <c r="V411" s="2"/>
      <c r="W411" s="2"/>
      <c r="X411" s="2"/>
    </row>
    <row r="412" spans="1:24" ht="15.7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T412" s="2"/>
      <c r="U412" s="2"/>
      <c r="V412" s="2"/>
      <c r="W412" s="2"/>
      <c r="X412" s="2"/>
    </row>
    <row r="413" spans="1:24" ht="15.7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T413" s="2"/>
      <c r="U413" s="2"/>
      <c r="V413" s="2"/>
      <c r="W413" s="2"/>
      <c r="X413" s="2"/>
    </row>
    <row r="414" spans="1:24" ht="15.7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T414" s="2"/>
      <c r="U414" s="2"/>
      <c r="V414" s="2"/>
      <c r="W414" s="2"/>
      <c r="X414" s="2"/>
    </row>
    <row r="415" spans="1:24" ht="15.7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T415" s="2"/>
      <c r="U415" s="2"/>
      <c r="V415" s="2"/>
      <c r="W415" s="2"/>
      <c r="X415" s="2"/>
    </row>
    <row r="416" spans="1:24" ht="15.7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T416" s="2"/>
      <c r="U416" s="2"/>
      <c r="V416" s="2"/>
      <c r="W416" s="2"/>
      <c r="X416" s="2"/>
    </row>
    <row r="417" spans="1:24" ht="15.7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T417" s="2"/>
      <c r="U417" s="2"/>
      <c r="V417" s="2"/>
      <c r="W417" s="2"/>
      <c r="X417" s="2"/>
    </row>
    <row r="418" spans="1:24" ht="15.7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T418" s="2"/>
      <c r="U418" s="2"/>
      <c r="V418" s="2"/>
      <c r="W418" s="2"/>
      <c r="X418" s="2"/>
    </row>
    <row r="419" spans="1:24" ht="15.7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T419" s="2"/>
      <c r="U419" s="2"/>
      <c r="V419" s="2"/>
      <c r="W419" s="2"/>
      <c r="X419" s="2"/>
    </row>
    <row r="420" spans="1:24" ht="15.7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T420" s="2"/>
      <c r="U420" s="2"/>
      <c r="V420" s="2"/>
      <c r="W420" s="2"/>
      <c r="X420" s="2"/>
    </row>
    <row r="421" spans="1:24" ht="15.7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T421" s="2"/>
      <c r="U421" s="2"/>
      <c r="V421" s="2"/>
      <c r="W421" s="2"/>
      <c r="X421" s="2"/>
    </row>
    <row r="422" spans="1:24" ht="15.7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T422" s="2"/>
      <c r="U422" s="2"/>
      <c r="V422" s="2"/>
      <c r="W422" s="2"/>
      <c r="X422" s="2"/>
    </row>
    <row r="423" spans="1:24" ht="15.7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T423" s="2"/>
      <c r="U423" s="2"/>
      <c r="V423" s="2"/>
      <c r="W423" s="2"/>
      <c r="X423" s="2"/>
    </row>
    <row r="424" spans="1:24" ht="15.7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T424" s="2"/>
      <c r="U424" s="2"/>
      <c r="V424" s="2"/>
      <c r="W424" s="2"/>
      <c r="X424" s="2"/>
    </row>
    <row r="425" spans="1:24" ht="15.7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T425" s="2"/>
      <c r="U425" s="2"/>
      <c r="V425" s="2"/>
      <c r="W425" s="2"/>
      <c r="X425" s="2"/>
    </row>
    <row r="426" spans="1:24" ht="15.7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T426" s="2"/>
      <c r="U426" s="2"/>
      <c r="V426" s="2"/>
      <c r="W426" s="2"/>
      <c r="X426" s="2"/>
    </row>
    <row r="427" spans="1:24" ht="15.7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T427" s="2"/>
      <c r="U427" s="2"/>
      <c r="V427" s="2"/>
      <c r="W427" s="2"/>
      <c r="X427" s="2"/>
    </row>
    <row r="428" spans="1:24" ht="15.7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T428" s="2"/>
      <c r="U428" s="2"/>
      <c r="V428" s="2"/>
      <c r="W428" s="2"/>
      <c r="X428" s="2"/>
    </row>
    <row r="429" spans="1:24" ht="15.7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T429" s="2"/>
      <c r="U429" s="2"/>
      <c r="V429" s="2"/>
      <c r="W429" s="2"/>
      <c r="X429" s="2"/>
    </row>
    <row r="430" spans="1:24" ht="15.7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T430" s="2"/>
      <c r="U430" s="2"/>
      <c r="V430" s="2"/>
      <c r="W430" s="2"/>
      <c r="X430" s="2"/>
    </row>
    <row r="431" spans="1:24" ht="15.7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T431" s="2"/>
      <c r="U431" s="2"/>
      <c r="V431" s="2"/>
      <c r="W431" s="2"/>
      <c r="X431" s="2"/>
    </row>
    <row r="432" spans="1:24" ht="15.7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T432" s="2"/>
      <c r="U432" s="2"/>
      <c r="V432" s="2"/>
      <c r="W432" s="2"/>
      <c r="X432" s="2"/>
    </row>
    <row r="433" spans="1:24" ht="15.7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T433" s="2"/>
      <c r="U433" s="2"/>
      <c r="V433" s="2"/>
      <c r="W433" s="2"/>
      <c r="X433" s="2"/>
    </row>
    <row r="434" spans="1:24" ht="15.7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T434" s="2"/>
      <c r="U434" s="2"/>
      <c r="V434" s="2"/>
      <c r="W434" s="2"/>
      <c r="X434" s="2"/>
    </row>
    <row r="435" spans="1:24" ht="15.7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T435" s="2"/>
      <c r="U435" s="2"/>
      <c r="V435" s="2"/>
      <c r="W435" s="2"/>
      <c r="X435" s="2"/>
    </row>
    <row r="436" spans="1:24" ht="15.7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T436" s="2"/>
      <c r="U436" s="2"/>
      <c r="V436" s="2"/>
      <c r="W436" s="2"/>
      <c r="X436" s="2"/>
    </row>
    <row r="437" spans="1:24" ht="15.7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T437" s="2"/>
      <c r="U437" s="2"/>
      <c r="V437" s="2"/>
      <c r="W437" s="2"/>
      <c r="X437" s="2"/>
    </row>
    <row r="438" spans="1:24" ht="15.7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T438" s="2"/>
      <c r="U438" s="2"/>
      <c r="V438" s="2"/>
      <c r="W438" s="2"/>
      <c r="X438" s="2"/>
    </row>
    <row r="439" spans="1:24" ht="15.7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T439" s="2"/>
      <c r="U439" s="2"/>
      <c r="V439" s="2"/>
      <c r="W439" s="2"/>
      <c r="X439" s="2"/>
    </row>
    <row r="440" spans="1:24" ht="15.7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T440" s="2"/>
      <c r="U440" s="2"/>
      <c r="V440" s="2"/>
      <c r="W440" s="2"/>
      <c r="X440" s="2"/>
    </row>
    <row r="441" spans="1:24" ht="15.7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T441" s="2"/>
      <c r="U441" s="2"/>
      <c r="V441" s="2"/>
      <c r="W441" s="2"/>
      <c r="X441" s="2"/>
    </row>
    <row r="442" spans="1:24" ht="15.7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T442" s="2"/>
      <c r="U442" s="2"/>
      <c r="V442" s="2"/>
      <c r="W442" s="2"/>
      <c r="X442" s="2"/>
    </row>
    <row r="443" spans="1:24" ht="15.7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T443" s="2"/>
      <c r="U443" s="2"/>
      <c r="V443" s="2"/>
      <c r="W443" s="2"/>
      <c r="X443" s="2"/>
    </row>
    <row r="444" spans="1:24" ht="15.7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T444" s="2"/>
      <c r="U444" s="2"/>
      <c r="V444" s="2"/>
      <c r="W444" s="2"/>
      <c r="X444" s="2"/>
    </row>
    <row r="445" spans="1:24" ht="15.7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T445" s="2"/>
      <c r="U445" s="2"/>
      <c r="V445" s="2"/>
      <c r="W445" s="2"/>
      <c r="X445" s="2"/>
    </row>
    <row r="446" spans="1:24" ht="15.7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T446" s="2"/>
      <c r="U446" s="2"/>
      <c r="V446" s="2"/>
      <c r="W446" s="2"/>
      <c r="X446" s="2"/>
    </row>
    <row r="447" spans="1:24" ht="15.7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T447" s="2"/>
      <c r="U447" s="2"/>
      <c r="V447" s="2"/>
      <c r="W447" s="2"/>
      <c r="X447" s="2"/>
    </row>
    <row r="448" spans="1:24" ht="15.7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T448" s="2"/>
      <c r="U448" s="2"/>
      <c r="V448" s="2"/>
      <c r="W448" s="2"/>
      <c r="X448" s="2"/>
    </row>
    <row r="449" spans="1:24" ht="15.7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T449" s="2"/>
      <c r="U449" s="2"/>
      <c r="V449" s="2"/>
      <c r="W449" s="2"/>
      <c r="X449" s="2"/>
    </row>
    <row r="450" spans="1:24" ht="15.7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T450" s="2"/>
      <c r="U450" s="2"/>
      <c r="V450" s="2"/>
      <c r="W450" s="2"/>
      <c r="X450" s="2"/>
    </row>
    <row r="451" spans="1:24" ht="15.7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T451" s="2"/>
      <c r="U451" s="2"/>
      <c r="V451" s="2"/>
      <c r="W451" s="2"/>
      <c r="X451" s="2"/>
    </row>
    <row r="452" spans="1:24" ht="15.7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T452" s="2"/>
      <c r="U452" s="2"/>
      <c r="V452" s="2"/>
      <c r="W452" s="2"/>
      <c r="X452" s="2"/>
    </row>
    <row r="453" spans="1:24" ht="15.7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T453" s="2"/>
      <c r="U453" s="2"/>
      <c r="V453" s="2"/>
      <c r="W453" s="2"/>
      <c r="X453" s="2"/>
    </row>
    <row r="454" spans="1:24" ht="15.7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T454" s="2"/>
      <c r="U454" s="2"/>
      <c r="V454" s="2"/>
      <c r="W454" s="2"/>
      <c r="X454" s="2"/>
    </row>
    <row r="455" spans="1:24" ht="15.7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T455" s="2"/>
      <c r="U455" s="2"/>
      <c r="V455" s="2"/>
      <c r="W455" s="2"/>
      <c r="X455" s="2"/>
    </row>
    <row r="456" spans="1:24" ht="15.7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T456" s="2"/>
      <c r="U456" s="2"/>
      <c r="V456" s="2"/>
      <c r="W456" s="2"/>
      <c r="X456" s="2"/>
    </row>
    <row r="457" spans="1:24" ht="15.7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T457" s="2"/>
      <c r="U457" s="2"/>
      <c r="V457" s="2"/>
      <c r="W457" s="2"/>
      <c r="X457" s="2"/>
    </row>
    <row r="458" spans="1:24" ht="15.7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T458" s="2"/>
      <c r="U458" s="2"/>
      <c r="V458" s="2"/>
      <c r="W458" s="2"/>
      <c r="X458" s="2"/>
    </row>
    <row r="459" spans="1:24" ht="15.7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T459" s="2"/>
      <c r="U459" s="2"/>
      <c r="V459" s="2"/>
      <c r="W459" s="2"/>
      <c r="X459" s="2"/>
    </row>
    <row r="460" spans="1:24" ht="15.7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T460" s="2"/>
      <c r="U460" s="2"/>
      <c r="V460" s="2"/>
      <c r="W460" s="2"/>
      <c r="X460" s="2"/>
    </row>
    <row r="461" spans="1:24" ht="15.7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T461" s="2"/>
      <c r="U461" s="2"/>
      <c r="V461" s="2"/>
      <c r="W461" s="2"/>
      <c r="X461" s="2"/>
    </row>
    <row r="462" spans="1:24" ht="15.7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T462" s="2"/>
      <c r="U462" s="2"/>
      <c r="V462" s="2"/>
      <c r="W462" s="2"/>
      <c r="X462" s="2"/>
    </row>
    <row r="463" spans="1:24" ht="15.7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T463" s="2"/>
      <c r="U463" s="2"/>
      <c r="V463" s="2"/>
      <c r="W463" s="2"/>
      <c r="X463" s="2"/>
    </row>
    <row r="464" spans="1:24" ht="15.7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T464" s="2"/>
      <c r="U464" s="2"/>
      <c r="V464" s="2"/>
      <c r="W464" s="2"/>
      <c r="X464" s="2"/>
    </row>
    <row r="465" spans="1:24" ht="15.7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T465" s="2"/>
      <c r="U465" s="2"/>
      <c r="V465" s="2"/>
      <c r="W465" s="2"/>
      <c r="X465" s="2"/>
    </row>
    <row r="466" spans="1:24" ht="15.7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T466" s="2"/>
      <c r="U466" s="2"/>
      <c r="V466" s="2"/>
      <c r="W466" s="2"/>
      <c r="X466" s="2"/>
    </row>
    <row r="467" spans="1:24" ht="15.7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T467" s="2"/>
      <c r="U467" s="2"/>
      <c r="V467" s="2"/>
      <c r="W467" s="2"/>
      <c r="X467" s="2"/>
    </row>
    <row r="468" spans="1:24" ht="15.7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T468" s="2"/>
      <c r="U468" s="2"/>
      <c r="V468" s="2"/>
      <c r="W468" s="2"/>
      <c r="X468" s="2"/>
    </row>
    <row r="469" spans="1:24" ht="15.7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T469" s="2"/>
      <c r="U469" s="2"/>
      <c r="V469" s="2"/>
      <c r="W469" s="2"/>
      <c r="X469" s="2"/>
    </row>
    <row r="470" spans="1:24" ht="15.7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T470" s="2"/>
      <c r="U470" s="2"/>
      <c r="V470" s="2"/>
      <c r="W470" s="2"/>
      <c r="X470" s="2"/>
    </row>
    <row r="471" spans="1:24" ht="15.7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T471" s="2"/>
      <c r="U471" s="2"/>
      <c r="V471" s="2"/>
      <c r="W471" s="2"/>
      <c r="X471" s="2"/>
    </row>
    <row r="472" spans="1:24" ht="15.7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T472" s="2"/>
      <c r="U472" s="2"/>
      <c r="V472" s="2"/>
      <c r="W472" s="2"/>
      <c r="X472" s="2"/>
    </row>
    <row r="473" spans="1:24" ht="15.7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T473" s="2"/>
      <c r="U473" s="2"/>
      <c r="V473" s="2"/>
      <c r="W473" s="2"/>
      <c r="X473" s="2"/>
    </row>
    <row r="474" spans="1:24" ht="15.7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T474" s="2"/>
      <c r="U474" s="2"/>
      <c r="V474" s="2"/>
      <c r="W474" s="2"/>
      <c r="X474" s="2"/>
    </row>
    <row r="475" spans="1:24" ht="15.7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T475" s="2"/>
      <c r="U475" s="2"/>
      <c r="V475" s="2"/>
      <c r="W475" s="2"/>
      <c r="X475" s="2"/>
    </row>
    <row r="476" spans="1:24" ht="15.7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T476" s="2"/>
      <c r="U476" s="2"/>
      <c r="V476" s="2"/>
      <c r="W476" s="2"/>
      <c r="X476" s="2"/>
    </row>
    <row r="477" spans="1:24" ht="15.7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T477" s="2"/>
      <c r="U477" s="2"/>
      <c r="V477" s="2"/>
      <c r="W477" s="2"/>
      <c r="X477" s="2"/>
    </row>
    <row r="478" spans="1:24" ht="15.7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T478" s="2"/>
      <c r="U478" s="2"/>
      <c r="V478" s="2"/>
      <c r="W478" s="2"/>
      <c r="X478" s="2"/>
    </row>
    <row r="479" spans="1:24" ht="15.7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T479" s="2"/>
      <c r="U479" s="2"/>
      <c r="V479" s="2"/>
      <c r="W479" s="2"/>
      <c r="X479" s="2"/>
    </row>
    <row r="480" spans="1:24" ht="15.7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T480" s="2"/>
      <c r="U480" s="2"/>
      <c r="V480" s="2"/>
      <c r="W480" s="2"/>
      <c r="X480" s="2"/>
    </row>
    <row r="481" spans="1:24" ht="15.7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T481" s="2"/>
      <c r="U481" s="2"/>
      <c r="V481" s="2"/>
      <c r="W481" s="2"/>
      <c r="X481" s="2"/>
    </row>
    <row r="482" spans="1:24" ht="15.7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T482" s="2"/>
      <c r="U482" s="2"/>
      <c r="V482" s="2"/>
      <c r="W482" s="2"/>
      <c r="X482" s="2"/>
    </row>
    <row r="483" spans="1:24" ht="15.7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T483" s="2"/>
      <c r="U483" s="2"/>
      <c r="V483" s="2"/>
      <c r="W483" s="2"/>
      <c r="X483" s="2"/>
    </row>
    <row r="484" spans="1:24" ht="15.7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T484" s="2"/>
      <c r="U484" s="2"/>
      <c r="V484" s="2"/>
      <c r="W484" s="2"/>
      <c r="X484" s="2"/>
    </row>
    <row r="485" spans="1:24" ht="15.7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T485" s="2"/>
      <c r="U485" s="2"/>
      <c r="V485" s="2"/>
      <c r="W485" s="2"/>
      <c r="X485" s="2"/>
    </row>
    <row r="486" spans="1:24" ht="15.7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T486" s="2"/>
      <c r="U486" s="2"/>
      <c r="V486" s="2"/>
      <c r="W486" s="2"/>
      <c r="X486" s="2"/>
    </row>
    <row r="487" spans="1:24" ht="15.7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T487" s="2"/>
      <c r="U487" s="2"/>
      <c r="V487" s="2"/>
      <c r="W487" s="2"/>
      <c r="X487" s="2"/>
    </row>
    <row r="488" spans="1:24" ht="15.7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T488" s="2"/>
      <c r="U488" s="2"/>
      <c r="V488" s="2"/>
      <c r="W488" s="2"/>
      <c r="X488" s="2"/>
    </row>
    <row r="489" spans="1:24" ht="15.7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T489" s="2"/>
      <c r="U489" s="2"/>
      <c r="V489" s="2"/>
      <c r="W489" s="2"/>
      <c r="X489" s="2"/>
    </row>
    <row r="490" spans="1:24" ht="15.7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T490" s="2"/>
      <c r="U490" s="2"/>
      <c r="V490" s="2"/>
      <c r="W490" s="2"/>
      <c r="X490" s="2"/>
    </row>
    <row r="491" spans="1:24" ht="15.7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T491" s="2"/>
      <c r="U491" s="2"/>
      <c r="V491" s="2"/>
      <c r="W491" s="2"/>
      <c r="X491" s="2"/>
    </row>
    <row r="492" spans="1:24" ht="15.7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T492" s="2"/>
      <c r="U492" s="2"/>
      <c r="V492" s="2"/>
      <c r="W492" s="2"/>
      <c r="X492" s="2"/>
    </row>
    <row r="493" spans="1:24" ht="15.7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T493" s="2"/>
      <c r="U493" s="2"/>
      <c r="V493" s="2"/>
      <c r="W493" s="2"/>
      <c r="X493" s="2"/>
    </row>
    <row r="494" spans="1:24" ht="15.7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T494" s="2"/>
      <c r="U494" s="2"/>
      <c r="V494" s="2"/>
      <c r="W494" s="2"/>
      <c r="X494" s="2"/>
    </row>
    <row r="495" spans="1:24" ht="15.7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T495" s="2"/>
      <c r="U495" s="2"/>
      <c r="V495" s="2"/>
      <c r="W495" s="2"/>
      <c r="X495" s="2"/>
    </row>
    <row r="496" spans="1:24" ht="15.7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T496" s="2"/>
      <c r="U496" s="2"/>
      <c r="V496" s="2"/>
      <c r="W496" s="2"/>
      <c r="X496" s="2"/>
    </row>
    <row r="497" spans="1:24" ht="15.7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T497" s="2"/>
      <c r="U497" s="2"/>
      <c r="V497" s="2"/>
      <c r="W497" s="2"/>
      <c r="X497" s="2"/>
    </row>
    <row r="498" spans="1:24" ht="15.7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T498" s="2"/>
      <c r="U498" s="2"/>
      <c r="V498" s="2"/>
      <c r="W498" s="2"/>
      <c r="X498" s="2"/>
    </row>
    <row r="499" spans="1:24" ht="15.7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T499" s="2"/>
      <c r="U499" s="2"/>
      <c r="V499" s="2"/>
      <c r="W499" s="2"/>
      <c r="X499" s="2"/>
    </row>
    <row r="500" spans="1:24" ht="15.7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T500" s="2"/>
      <c r="U500" s="2"/>
      <c r="V500" s="2"/>
      <c r="W500" s="2"/>
      <c r="X500" s="2"/>
    </row>
    <row r="501" spans="1:24" ht="15.7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T501" s="2"/>
      <c r="U501" s="2"/>
      <c r="V501" s="2"/>
      <c r="W501" s="2"/>
      <c r="X501" s="2"/>
    </row>
    <row r="502" spans="1:24" ht="15.7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T502" s="2"/>
      <c r="U502" s="2"/>
      <c r="V502" s="2"/>
      <c r="W502" s="2"/>
      <c r="X502" s="2"/>
    </row>
    <row r="503" spans="1:24" ht="15.7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T503" s="2"/>
      <c r="U503" s="2"/>
      <c r="V503" s="2"/>
      <c r="W503" s="2"/>
      <c r="X503" s="2"/>
    </row>
    <row r="504" spans="1:24" ht="15.7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T504" s="2"/>
      <c r="U504" s="2"/>
      <c r="V504" s="2"/>
      <c r="W504" s="2"/>
      <c r="X504" s="2"/>
    </row>
    <row r="505" spans="1:24" ht="15.7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T505" s="2"/>
      <c r="U505" s="2"/>
      <c r="V505" s="2"/>
      <c r="W505" s="2"/>
      <c r="X505" s="2"/>
    </row>
    <row r="506" spans="1:24" ht="15.7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T506" s="2"/>
      <c r="U506" s="2"/>
      <c r="V506" s="2"/>
      <c r="W506" s="2"/>
      <c r="X506" s="2"/>
    </row>
    <row r="507" spans="1:24" ht="15.7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T507" s="2"/>
      <c r="U507" s="2"/>
      <c r="V507" s="2"/>
      <c r="W507" s="2"/>
      <c r="X507" s="2"/>
    </row>
    <row r="508" spans="1:24" ht="15.7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T508" s="2"/>
      <c r="U508" s="2"/>
      <c r="V508" s="2"/>
      <c r="W508" s="2"/>
      <c r="X508" s="2"/>
    </row>
    <row r="509" spans="1:24" ht="15.7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T509" s="2"/>
      <c r="U509" s="2"/>
      <c r="V509" s="2"/>
      <c r="W509" s="2"/>
      <c r="X509" s="2"/>
    </row>
    <row r="510" spans="1:24" ht="15.7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T510" s="2"/>
      <c r="U510" s="2"/>
      <c r="V510" s="2"/>
      <c r="W510" s="2"/>
      <c r="X510" s="2"/>
    </row>
    <row r="511" spans="1:24" ht="15.7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T511" s="2"/>
      <c r="U511" s="2"/>
      <c r="V511" s="2"/>
      <c r="W511" s="2"/>
      <c r="X511" s="2"/>
    </row>
    <row r="512" spans="1:24" ht="15.7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T512" s="2"/>
      <c r="U512" s="2"/>
      <c r="V512" s="2"/>
      <c r="W512" s="2"/>
      <c r="X512" s="2"/>
    </row>
    <row r="513" spans="1:24" ht="15.7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T513" s="2"/>
      <c r="U513" s="2"/>
      <c r="V513" s="2"/>
      <c r="W513" s="2"/>
      <c r="X513" s="2"/>
    </row>
    <row r="514" spans="1:24" ht="15.7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T514" s="2"/>
      <c r="U514" s="2"/>
      <c r="V514" s="2"/>
      <c r="W514" s="2"/>
      <c r="X514" s="2"/>
    </row>
    <row r="515" spans="1:24" ht="15.7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T515" s="2"/>
      <c r="U515" s="2"/>
      <c r="V515" s="2"/>
      <c r="W515" s="2"/>
      <c r="X515" s="2"/>
    </row>
    <row r="516" spans="1:24" ht="15.7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T516" s="2"/>
      <c r="U516" s="2"/>
      <c r="V516" s="2"/>
      <c r="W516" s="2"/>
      <c r="X516" s="2"/>
    </row>
    <row r="517" spans="1:24" ht="15.7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T517" s="2"/>
      <c r="U517" s="2"/>
      <c r="V517" s="2"/>
      <c r="W517" s="2"/>
      <c r="X517" s="2"/>
    </row>
    <row r="518" spans="1:24" ht="15.7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T518" s="2"/>
      <c r="U518" s="2"/>
      <c r="V518" s="2"/>
      <c r="W518" s="2"/>
      <c r="X518" s="2"/>
    </row>
    <row r="519" spans="1:24" ht="15.7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T519" s="2"/>
      <c r="U519" s="2"/>
      <c r="V519" s="2"/>
      <c r="W519" s="2"/>
      <c r="X519" s="2"/>
    </row>
    <row r="520" spans="1:24" ht="15.7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T520" s="2"/>
      <c r="U520" s="2"/>
      <c r="V520" s="2"/>
      <c r="W520" s="2"/>
      <c r="X520" s="2"/>
    </row>
    <row r="521" spans="1:24" ht="15.7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T521" s="2"/>
      <c r="U521" s="2"/>
      <c r="V521" s="2"/>
      <c r="W521" s="2"/>
      <c r="X521" s="2"/>
    </row>
    <row r="522" spans="1:24" ht="15.7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T522" s="2"/>
      <c r="U522" s="2"/>
      <c r="V522" s="2"/>
      <c r="W522" s="2"/>
      <c r="X522" s="2"/>
    </row>
    <row r="523" spans="1:24" ht="15.7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T523" s="2"/>
      <c r="U523" s="2"/>
      <c r="V523" s="2"/>
      <c r="W523" s="2"/>
      <c r="X523" s="2"/>
    </row>
    <row r="524" spans="1:24" ht="15.7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T524" s="2"/>
      <c r="U524" s="2"/>
      <c r="V524" s="2"/>
      <c r="W524" s="2"/>
      <c r="X524" s="2"/>
    </row>
    <row r="525" spans="1:24" ht="15.7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T525" s="2"/>
      <c r="U525" s="2"/>
      <c r="V525" s="2"/>
      <c r="W525" s="2"/>
      <c r="X525" s="2"/>
    </row>
    <row r="526" spans="1:24" ht="15.7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T526" s="2"/>
      <c r="U526" s="2"/>
      <c r="V526" s="2"/>
      <c r="W526" s="2"/>
      <c r="X526" s="2"/>
    </row>
    <row r="527" spans="1:24" ht="15.7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T527" s="2"/>
      <c r="U527" s="2"/>
      <c r="V527" s="2"/>
      <c r="W527" s="2"/>
      <c r="X527" s="2"/>
    </row>
    <row r="528" spans="1:24" ht="15.7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T528" s="2"/>
      <c r="U528" s="2"/>
      <c r="V528" s="2"/>
      <c r="W528" s="2"/>
      <c r="X528" s="2"/>
    </row>
    <row r="529" spans="1:24" ht="15.7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T529" s="2"/>
      <c r="U529" s="2"/>
      <c r="V529" s="2"/>
      <c r="W529" s="2"/>
      <c r="X529" s="2"/>
    </row>
    <row r="530" spans="1:24" ht="15.7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T530" s="2"/>
      <c r="U530" s="2"/>
      <c r="V530" s="2"/>
      <c r="W530" s="2"/>
      <c r="X530" s="2"/>
    </row>
    <row r="531" spans="1:24" ht="15.7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T531" s="2"/>
      <c r="U531" s="2"/>
      <c r="V531" s="2"/>
      <c r="W531" s="2"/>
      <c r="X531" s="2"/>
    </row>
    <row r="532" spans="1:24" ht="15.7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T532" s="2"/>
      <c r="U532" s="2"/>
      <c r="V532" s="2"/>
      <c r="W532" s="2"/>
      <c r="X532" s="2"/>
    </row>
    <row r="533" spans="1:24" ht="15.7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T533" s="2"/>
      <c r="U533" s="2"/>
      <c r="V533" s="2"/>
      <c r="W533" s="2"/>
      <c r="X533" s="2"/>
    </row>
    <row r="534" spans="1:24" ht="15.7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T534" s="2"/>
      <c r="U534" s="2"/>
      <c r="V534" s="2"/>
      <c r="W534" s="2"/>
      <c r="X534" s="2"/>
    </row>
    <row r="535" spans="1:24" ht="15.7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T535" s="2"/>
      <c r="U535" s="2"/>
      <c r="V535" s="2"/>
      <c r="W535" s="2"/>
      <c r="X535" s="2"/>
    </row>
    <row r="536" spans="1:24" ht="15.7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T536" s="2"/>
      <c r="U536" s="2"/>
      <c r="V536" s="2"/>
      <c r="W536" s="2"/>
      <c r="X536" s="2"/>
    </row>
    <row r="537" spans="1:24" ht="15.7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T537" s="2"/>
      <c r="U537" s="2"/>
      <c r="V537" s="2"/>
      <c r="W537" s="2"/>
      <c r="X537" s="2"/>
    </row>
    <row r="538" spans="1:24" ht="15.7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T538" s="2"/>
      <c r="U538" s="2"/>
      <c r="V538" s="2"/>
      <c r="W538" s="2"/>
      <c r="X538" s="2"/>
    </row>
    <row r="539" spans="1:24" ht="15.7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T539" s="2"/>
      <c r="U539" s="2"/>
      <c r="V539" s="2"/>
      <c r="W539" s="2"/>
      <c r="X539" s="2"/>
    </row>
    <row r="540" spans="1:24" ht="15.7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T540" s="2"/>
      <c r="U540" s="2"/>
      <c r="V540" s="2"/>
      <c r="W540" s="2"/>
      <c r="X540" s="2"/>
    </row>
    <row r="541" spans="1:24" ht="15.7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T541" s="2"/>
      <c r="U541" s="2"/>
      <c r="V541" s="2"/>
      <c r="W541" s="2"/>
      <c r="X541" s="2"/>
    </row>
    <row r="542" spans="1:24" ht="15.7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T542" s="2"/>
      <c r="U542" s="2"/>
      <c r="V542" s="2"/>
      <c r="W542" s="2"/>
      <c r="X542" s="2"/>
    </row>
    <row r="543" spans="1:24" ht="15.7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T543" s="2"/>
      <c r="U543" s="2"/>
      <c r="V543" s="2"/>
      <c r="W543" s="2"/>
      <c r="X543" s="2"/>
    </row>
    <row r="544" spans="1:24" ht="15.7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T544" s="2"/>
      <c r="U544" s="2"/>
      <c r="V544" s="2"/>
      <c r="W544" s="2"/>
      <c r="X544" s="2"/>
    </row>
    <row r="545" spans="1:24" ht="15.7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T545" s="2"/>
      <c r="U545" s="2"/>
      <c r="V545" s="2"/>
      <c r="W545" s="2"/>
      <c r="X545" s="2"/>
    </row>
    <row r="546" spans="1:24" ht="15.7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T546" s="2"/>
      <c r="U546" s="2"/>
      <c r="V546" s="2"/>
      <c r="W546" s="2"/>
      <c r="X546" s="2"/>
    </row>
    <row r="547" spans="1:24" ht="15.7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T547" s="2"/>
      <c r="U547" s="2"/>
      <c r="V547" s="2"/>
      <c r="W547" s="2"/>
      <c r="X547" s="2"/>
    </row>
    <row r="548" spans="1:24" ht="15.7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T548" s="2"/>
      <c r="U548" s="2"/>
      <c r="V548" s="2"/>
      <c r="W548" s="2"/>
      <c r="X548" s="2"/>
    </row>
    <row r="549" spans="1:24" ht="15.7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T549" s="2"/>
      <c r="U549" s="2"/>
      <c r="V549" s="2"/>
      <c r="W549" s="2"/>
      <c r="X549" s="2"/>
    </row>
    <row r="550" spans="1:24" ht="15.7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T550" s="2"/>
      <c r="U550" s="2"/>
      <c r="V550" s="2"/>
      <c r="W550" s="2"/>
      <c r="X550" s="2"/>
    </row>
    <row r="551" spans="1:24" ht="15.7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T551" s="2"/>
      <c r="U551" s="2"/>
      <c r="V551" s="2"/>
      <c r="W551" s="2"/>
      <c r="X551" s="2"/>
    </row>
    <row r="552" spans="1:24" ht="15.7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T552" s="2"/>
      <c r="U552" s="2"/>
      <c r="V552" s="2"/>
      <c r="W552" s="2"/>
      <c r="X552" s="2"/>
    </row>
    <row r="553" spans="1:24" ht="15.7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T553" s="2"/>
      <c r="U553" s="2"/>
      <c r="V553" s="2"/>
      <c r="W553" s="2"/>
      <c r="X553" s="2"/>
    </row>
    <row r="554" spans="1:24" ht="15.7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T554" s="2"/>
      <c r="U554" s="2"/>
      <c r="V554" s="2"/>
      <c r="W554" s="2"/>
      <c r="X554" s="2"/>
    </row>
    <row r="555" spans="1:24" ht="15.7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T555" s="2"/>
      <c r="U555" s="2"/>
      <c r="V555" s="2"/>
      <c r="W555" s="2"/>
      <c r="X555" s="2"/>
    </row>
    <row r="556" spans="1:24" ht="15.7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T556" s="2"/>
      <c r="U556" s="2"/>
      <c r="V556" s="2"/>
      <c r="W556" s="2"/>
      <c r="X556" s="2"/>
    </row>
    <row r="557" spans="1:24" ht="15.7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T557" s="2"/>
      <c r="U557" s="2"/>
      <c r="V557" s="2"/>
      <c r="W557" s="2"/>
      <c r="X557" s="2"/>
    </row>
    <row r="558" spans="1:24" ht="15.7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T558" s="2"/>
      <c r="U558" s="2"/>
      <c r="V558" s="2"/>
      <c r="W558" s="2"/>
      <c r="X558" s="2"/>
    </row>
    <row r="559" spans="1:24" ht="15.7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T559" s="2"/>
      <c r="U559" s="2"/>
      <c r="V559" s="2"/>
      <c r="W559" s="2"/>
      <c r="X559" s="2"/>
    </row>
    <row r="560" spans="1:24" ht="15.7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T560" s="2"/>
      <c r="U560" s="2"/>
      <c r="V560" s="2"/>
      <c r="W560" s="2"/>
      <c r="X560" s="2"/>
    </row>
    <row r="561" spans="1:24" ht="15.7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T561" s="2"/>
      <c r="U561" s="2"/>
      <c r="V561" s="2"/>
      <c r="W561" s="2"/>
      <c r="X561" s="2"/>
    </row>
    <row r="562" spans="1:24" ht="15.7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T562" s="2"/>
      <c r="U562" s="2"/>
      <c r="V562" s="2"/>
      <c r="W562" s="2"/>
      <c r="X562" s="2"/>
    </row>
    <row r="563" spans="1:24" ht="15.7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T563" s="2"/>
      <c r="U563" s="2"/>
      <c r="V563" s="2"/>
      <c r="W563" s="2"/>
      <c r="X563" s="2"/>
    </row>
    <row r="564" spans="1:24" ht="15.7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T564" s="2"/>
      <c r="U564" s="2"/>
      <c r="V564" s="2"/>
      <c r="W564" s="2"/>
      <c r="X564" s="2"/>
    </row>
    <row r="565" spans="1:24" ht="15.7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T565" s="2"/>
      <c r="U565" s="2"/>
      <c r="V565" s="2"/>
      <c r="W565" s="2"/>
      <c r="X565" s="2"/>
    </row>
    <row r="566" spans="1:24" ht="15.7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T566" s="2"/>
      <c r="U566" s="2"/>
      <c r="V566" s="2"/>
      <c r="W566" s="2"/>
      <c r="X566" s="2"/>
    </row>
    <row r="567" spans="1:24" ht="15.7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T567" s="2"/>
      <c r="U567" s="2"/>
      <c r="V567" s="2"/>
      <c r="W567" s="2"/>
      <c r="X567" s="2"/>
    </row>
    <row r="568" spans="1:24" ht="15.7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T568" s="2"/>
      <c r="U568" s="2"/>
      <c r="V568" s="2"/>
      <c r="W568" s="2"/>
      <c r="X568" s="2"/>
    </row>
    <row r="569" spans="1:24" ht="15.7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T569" s="2"/>
      <c r="U569" s="2"/>
      <c r="V569" s="2"/>
      <c r="W569" s="2"/>
      <c r="X569" s="2"/>
    </row>
    <row r="570" spans="1:24" ht="15.7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T570" s="2"/>
      <c r="U570" s="2"/>
      <c r="V570" s="2"/>
      <c r="W570" s="2"/>
      <c r="X570" s="2"/>
    </row>
    <row r="571" spans="1:24" ht="15.7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T571" s="2"/>
      <c r="U571" s="2"/>
      <c r="V571" s="2"/>
      <c r="W571" s="2"/>
      <c r="X571" s="2"/>
    </row>
    <row r="572" spans="1:24" ht="15.7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T572" s="2"/>
      <c r="U572" s="2"/>
      <c r="V572" s="2"/>
      <c r="W572" s="2"/>
      <c r="X572" s="2"/>
    </row>
    <row r="573" spans="1:24" ht="15.7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T573" s="2"/>
      <c r="U573" s="2"/>
      <c r="V573" s="2"/>
      <c r="W573" s="2"/>
      <c r="X573" s="2"/>
    </row>
    <row r="574" spans="1:24" ht="15.7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T574" s="2"/>
      <c r="U574" s="2"/>
      <c r="V574" s="2"/>
      <c r="W574" s="2"/>
      <c r="X574" s="2"/>
    </row>
    <row r="575" spans="1:24" ht="15.7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T575" s="2"/>
      <c r="U575" s="2"/>
      <c r="V575" s="2"/>
      <c r="W575" s="2"/>
      <c r="X575" s="2"/>
    </row>
    <row r="576" spans="1:24" ht="15.7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T576" s="2"/>
      <c r="U576" s="2"/>
      <c r="V576" s="2"/>
      <c r="W576" s="2"/>
      <c r="X576" s="2"/>
    </row>
    <row r="577" spans="1:24" ht="15.7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T577" s="2"/>
      <c r="U577" s="2"/>
      <c r="V577" s="2"/>
      <c r="W577" s="2"/>
      <c r="X577" s="2"/>
    </row>
    <row r="578" spans="1:24" ht="15.7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T578" s="2"/>
      <c r="U578" s="2"/>
      <c r="V578" s="2"/>
      <c r="W578" s="2"/>
      <c r="X578" s="2"/>
    </row>
    <row r="579" spans="1:24" ht="15.7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T579" s="2"/>
      <c r="U579" s="2"/>
      <c r="V579" s="2"/>
      <c r="W579" s="2"/>
      <c r="X579" s="2"/>
    </row>
    <row r="580" spans="1:24" ht="15.7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T580" s="2"/>
      <c r="U580" s="2"/>
      <c r="V580" s="2"/>
      <c r="W580" s="2"/>
      <c r="X580" s="2"/>
    </row>
    <row r="581" spans="1:24" ht="15.7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T581" s="2"/>
      <c r="U581" s="2"/>
      <c r="V581" s="2"/>
      <c r="W581" s="2"/>
      <c r="X581" s="2"/>
    </row>
    <row r="582" spans="1:24" ht="15.7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T582" s="2"/>
      <c r="U582" s="2"/>
      <c r="V582" s="2"/>
      <c r="W582" s="2"/>
      <c r="X582" s="2"/>
    </row>
    <row r="583" spans="1:24" ht="15.7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T583" s="2"/>
      <c r="U583" s="2"/>
      <c r="V583" s="2"/>
      <c r="W583" s="2"/>
      <c r="X583" s="2"/>
    </row>
    <row r="584" spans="1:24" ht="15.7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T584" s="2"/>
      <c r="U584" s="2"/>
      <c r="V584" s="2"/>
      <c r="W584" s="2"/>
      <c r="X584" s="2"/>
    </row>
    <row r="585" spans="1:24" ht="15.7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T585" s="2"/>
      <c r="U585" s="2"/>
      <c r="V585" s="2"/>
      <c r="W585" s="2"/>
      <c r="X585" s="2"/>
    </row>
    <row r="586" spans="1:24" ht="15.7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T586" s="2"/>
      <c r="U586" s="2"/>
      <c r="V586" s="2"/>
      <c r="W586" s="2"/>
      <c r="X586" s="2"/>
    </row>
    <row r="587" spans="1:24" ht="15.7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T587" s="2"/>
      <c r="U587" s="2"/>
      <c r="V587" s="2"/>
      <c r="W587" s="2"/>
      <c r="X587" s="2"/>
    </row>
    <row r="588" spans="1:24" ht="15.7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T588" s="2"/>
      <c r="U588" s="2"/>
      <c r="V588" s="2"/>
      <c r="W588" s="2"/>
      <c r="X588" s="2"/>
    </row>
    <row r="589" spans="1:24" ht="15.7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T589" s="2"/>
      <c r="U589" s="2"/>
      <c r="V589" s="2"/>
      <c r="W589" s="2"/>
      <c r="X589" s="2"/>
    </row>
    <row r="590" spans="1:24" ht="15.7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T590" s="2"/>
      <c r="U590" s="2"/>
      <c r="V590" s="2"/>
      <c r="W590" s="2"/>
      <c r="X590" s="2"/>
    </row>
    <row r="591" spans="1:24" ht="15.7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T591" s="2"/>
      <c r="U591" s="2"/>
      <c r="V591" s="2"/>
      <c r="W591" s="2"/>
      <c r="X591" s="2"/>
    </row>
    <row r="592" spans="1:24" ht="15.7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T592" s="2"/>
      <c r="U592" s="2"/>
      <c r="V592" s="2"/>
      <c r="W592" s="2"/>
      <c r="X592" s="2"/>
    </row>
    <row r="593" spans="1:24" ht="15.7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T593" s="2"/>
      <c r="U593" s="2"/>
      <c r="V593" s="2"/>
      <c r="W593" s="2"/>
      <c r="X593" s="2"/>
    </row>
    <row r="594" spans="1:24" ht="15.7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T594" s="2"/>
      <c r="U594" s="2"/>
      <c r="V594" s="2"/>
      <c r="W594" s="2"/>
      <c r="X594" s="2"/>
    </row>
    <row r="595" spans="1:24" ht="15.7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T595" s="2"/>
      <c r="U595" s="2"/>
      <c r="V595" s="2"/>
      <c r="W595" s="2"/>
      <c r="X595" s="2"/>
    </row>
    <row r="596" spans="1:24" ht="15.7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T596" s="2"/>
      <c r="U596" s="2"/>
      <c r="V596" s="2"/>
      <c r="W596" s="2"/>
      <c r="X596" s="2"/>
    </row>
    <row r="597" spans="1:24" ht="15.7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T597" s="2"/>
      <c r="U597" s="2"/>
      <c r="V597" s="2"/>
      <c r="W597" s="2"/>
      <c r="X597" s="2"/>
    </row>
    <row r="598" spans="1:24" ht="15.7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T598" s="2"/>
      <c r="U598" s="2"/>
      <c r="V598" s="2"/>
      <c r="W598" s="2"/>
      <c r="X598" s="2"/>
    </row>
    <row r="599" spans="1:24" ht="15.7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T599" s="2"/>
      <c r="U599" s="2"/>
      <c r="V599" s="2"/>
      <c r="W599" s="2"/>
      <c r="X599" s="2"/>
    </row>
    <row r="600" spans="1:24" ht="15.7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T600" s="2"/>
      <c r="U600" s="2"/>
      <c r="V600" s="2"/>
      <c r="W600" s="2"/>
      <c r="X600" s="2"/>
    </row>
    <row r="601" spans="1:24" ht="15.7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T601" s="2"/>
      <c r="U601" s="2"/>
      <c r="V601" s="2"/>
      <c r="W601" s="2"/>
      <c r="X601" s="2"/>
    </row>
    <row r="602" spans="1:24" ht="15.7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T602" s="2"/>
      <c r="U602" s="2"/>
      <c r="V602" s="2"/>
      <c r="W602" s="2"/>
      <c r="X602" s="2"/>
    </row>
    <row r="603" spans="1:24" ht="15.7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T603" s="2"/>
      <c r="U603" s="2"/>
      <c r="V603" s="2"/>
      <c r="W603" s="2"/>
      <c r="X603" s="2"/>
    </row>
    <row r="604" spans="1:24" ht="15.7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T604" s="2"/>
      <c r="U604" s="2"/>
      <c r="V604" s="2"/>
      <c r="W604" s="2"/>
      <c r="X604" s="2"/>
    </row>
    <row r="605" spans="1:24" ht="15.7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T605" s="2"/>
      <c r="U605" s="2"/>
      <c r="V605" s="2"/>
      <c r="W605" s="2"/>
      <c r="X605" s="2"/>
    </row>
    <row r="606" spans="1:24" ht="15.7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T606" s="2"/>
      <c r="U606" s="2"/>
      <c r="V606" s="2"/>
      <c r="W606" s="2"/>
      <c r="X606" s="2"/>
    </row>
    <row r="607" spans="1:24" ht="15.7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T607" s="2"/>
      <c r="U607" s="2"/>
      <c r="V607" s="2"/>
      <c r="W607" s="2"/>
      <c r="X607" s="2"/>
    </row>
    <row r="608" spans="1:24" ht="15.7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T608" s="2"/>
      <c r="U608" s="2"/>
      <c r="V608" s="2"/>
      <c r="W608" s="2"/>
      <c r="X608" s="2"/>
    </row>
    <row r="609" spans="1:24" ht="15.7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T609" s="2"/>
      <c r="U609" s="2"/>
      <c r="V609" s="2"/>
      <c r="W609" s="2"/>
      <c r="X609" s="2"/>
    </row>
    <row r="610" spans="1:24" ht="15.7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T610" s="2"/>
      <c r="U610" s="2"/>
      <c r="V610" s="2"/>
      <c r="W610" s="2"/>
      <c r="X610" s="2"/>
    </row>
    <row r="611" spans="1:24" ht="15.7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T611" s="2"/>
      <c r="U611" s="2"/>
      <c r="V611" s="2"/>
      <c r="W611" s="2"/>
      <c r="X611" s="2"/>
    </row>
    <row r="612" spans="1:24" ht="15.7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T612" s="2"/>
      <c r="U612" s="2"/>
      <c r="V612" s="2"/>
      <c r="W612" s="2"/>
      <c r="X612" s="2"/>
    </row>
    <row r="613" spans="1:24" ht="15.7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T613" s="2"/>
      <c r="U613" s="2"/>
      <c r="V613" s="2"/>
      <c r="W613" s="2"/>
      <c r="X613" s="2"/>
    </row>
    <row r="614" spans="1:24" ht="15.7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T614" s="2"/>
      <c r="U614" s="2"/>
      <c r="V614" s="2"/>
      <c r="W614" s="2"/>
      <c r="X614" s="2"/>
    </row>
    <row r="615" spans="1:24" ht="15.7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T615" s="2"/>
      <c r="U615" s="2"/>
      <c r="V615" s="2"/>
      <c r="W615" s="2"/>
      <c r="X615" s="2"/>
    </row>
    <row r="616" spans="1:24" ht="15.7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T616" s="2"/>
      <c r="U616" s="2"/>
      <c r="V616" s="2"/>
      <c r="W616" s="2"/>
      <c r="X616" s="2"/>
    </row>
    <row r="617" spans="1:24" ht="15.7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T617" s="2"/>
      <c r="U617" s="2"/>
      <c r="V617" s="2"/>
      <c r="W617" s="2"/>
      <c r="X617" s="2"/>
    </row>
    <row r="618" spans="1:24" ht="15.7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T618" s="2"/>
      <c r="U618" s="2"/>
      <c r="V618" s="2"/>
      <c r="W618" s="2"/>
      <c r="X618" s="2"/>
    </row>
    <row r="619" spans="1:24" ht="15.7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T619" s="2"/>
      <c r="U619" s="2"/>
      <c r="V619" s="2"/>
      <c r="W619" s="2"/>
      <c r="X619" s="2"/>
    </row>
    <row r="620" spans="1:24" ht="15.7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T620" s="2"/>
      <c r="U620" s="2"/>
      <c r="V620" s="2"/>
      <c r="W620" s="2"/>
      <c r="X620" s="2"/>
    </row>
    <row r="621" spans="1:24" ht="15.7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T621" s="2"/>
      <c r="U621" s="2"/>
      <c r="V621" s="2"/>
      <c r="W621" s="2"/>
      <c r="X621" s="2"/>
    </row>
    <row r="622" spans="1:24" ht="15.7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T622" s="2"/>
      <c r="U622" s="2"/>
      <c r="V622" s="2"/>
      <c r="W622" s="2"/>
      <c r="X622" s="2"/>
    </row>
    <row r="623" spans="1:24" ht="15.7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T623" s="2"/>
      <c r="U623" s="2"/>
      <c r="V623" s="2"/>
      <c r="W623" s="2"/>
      <c r="X623" s="2"/>
    </row>
    <row r="624" spans="1:24" ht="15.7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T624" s="2"/>
      <c r="U624" s="2"/>
      <c r="V624" s="2"/>
      <c r="W624" s="2"/>
      <c r="X624" s="2"/>
    </row>
    <row r="625" spans="1:24" ht="15.7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T625" s="2"/>
      <c r="U625" s="2"/>
      <c r="V625" s="2"/>
      <c r="W625" s="2"/>
      <c r="X625" s="2"/>
    </row>
    <row r="626" spans="1:24" ht="15.7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T626" s="2"/>
      <c r="U626" s="2"/>
      <c r="V626" s="2"/>
      <c r="W626" s="2"/>
      <c r="X626" s="2"/>
    </row>
    <row r="627" spans="1:24" ht="15.7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T627" s="2"/>
      <c r="U627" s="2"/>
      <c r="V627" s="2"/>
      <c r="W627" s="2"/>
      <c r="X627" s="2"/>
    </row>
    <row r="628" spans="1:24" ht="15.7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T628" s="2"/>
      <c r="U628" s="2"/>
      <c r="V628" s="2"/>
      <c r="W628" s="2"/>
      <c r="X628" s="2"/>
    </row>
    <row r="629" spans="1:24" ht="15.7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T629" s="2"/>
      <c r="U629" s="2"/>
      <c r="V629" s="2"/>
      <c r="W629" s="2"/>
      <c r="X629" s="2"/>
    </row>
    <row r="630" spans="1:24" ht="15.7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T630" s="2"/>
      <c r="U630" s="2"/>
      <c r="V630" s="2"/>
      <c r="W630" s="2"/>
      <c r="X630" s="2"/>
    </row>
    <row r="631" spans="1:24" ht="15.7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T631" s="2"/>
      <c r="U631" s="2"/>
      <c r="V631" s="2"/>
      <c r="W631" s="2"/>
      <c r="X631" s="2"/>
    </row>
    <row r="632" spans="1:24" ht="15.7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T632" s="2"/>
      <c r="U632" s="2"/>
      <c r="V632" s="2"/>
      <c r="W632" s="2"/>
      <c r="X632" s="2"/>
    </row>
    <row r="633" spans="1:24" ht="15.7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T633" s="2"/>
      <c r="U633" s="2"/>
      <c r="V633" s="2"/>
      <c r="W633" s="2"/>
      <c r="X633" s="2"/>
    </row>
    <row r="634" spans="1:24" ht="15.7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T634" s="2"/>
      <c r="U634" s="2"/>
      <c r="V634" s="2"/>
      <c r="W634" s="2"/>
      <c r="X634" s="2"/>
    </row>
    <row r="635" spans="1:24" ht="15.7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T635" s="2"/>
      <c r="U635" s="2"/>
      <c r="V635" s="2"/>
      <c r="W635" s="2"/>
      <c r="X635" s="2"/>
    </row>
    <row r="636" spans="1:24" ht="15.7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T636" s="2"/>
      <c r="U636" s="2"/>
      <c r="V636" s="2"/>
      <c r="W636" s="2"/>
      <c r="X636" s="2"/>
    </row>
    <row r="637" spans="1:24" ht="15.7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T637" s="2"/>
      <c r="U637" s="2"/>
      <c r="V637" s="2"/>
      <c r="W637" s="2"/>
      <c r="X637" s="2"/>
    </row>
    <row r="638" spans="1:24" ht="15.7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T638" s="2"/>
      <c r="U638" s="2"/>
      <c r="V638" s="2"/>
      <c r="W638" s="2"/>
      <c r="X638" s="2"/>
    </row>
    <row r="639" spans="1:24" ht="15.7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T639" s="2"/>
      <c r="U639" s="2"/>
      <c r="V639" s="2"/>
      <c r="W639" s="2"/>
      <c r="X639" s="2"/>
    </row>
    <row r="640" spans="1:24" ht="15.7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T640" s="2"/>
      <c r="U640" s="2"/>
      <c r="V640" s="2"/>
      <c r="W640" s="2"/>
      <c r="X640" s="2"/>
    </row>
    <row r="641" spans="1:24" ht="15.7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T641" s="2"/>
      <c r="U641" s="2"/>
      <c r="V641" s="2"/>
      <c r="W641" s="2"/>
      <c r="X641" s="2"/>
    </row>
    <row r="642" spans="1:24" ht="15.7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T642" s="2"/>
      <c r="U642" s="2"/>
      <c r="V642" s="2"/>
      <c r="W642" s="2"/>
      <c r="X642" s="2"/>
    </row>
    <row r="643" spans="1:24" ht="15.7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T643" s="2"/>
      <c r="U643" s="2"/>
      <c r="V643" s="2"/>
      <c r="W643" s="2"/>
      <c r="X643" s="2"/>
    </row>
    <row r="644" spans="1:24" ht="15.7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T644" s="2"/>
      <c r="U644" s="2"/>
      <c r="V644" s="2"/>
      <c r="W644" s="2"/>
      <c r="X644" s="2"/>
    </row>
    <row r="645" spans="1:24" ht="15.7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T645" s="2"/>
      <c r="U645" s="2"/>
      <c r="V645" s="2"/>
      <c r="W645" s="2"/>
      <c r="X645" s="2"/>
    </row>
    <row r="646" spans="1:24" ht="15.7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T646" s="2"/>
      <c r="U646" s="2"/>
      <c r="V646" s="2"/>
      <c r="W646" s="2"/>
      <c r="X646" s="2"/>
    </row>
    <row r="647" spans="1:24" ht="15.7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T647" s="2"/>
      <c r="U647" s="2"/>
      <c r="V647" s="2"/>
      <c r="W647" s="2"/>
      <c r="X647" s="2"/>
    </row>
    <row r="648" spans="1:24" ht="15.7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T648" s="2"/>
      <c r="U648" s="2"/>
      <c r="V648" s="2"/>
      <c r="W648" s="2"/>
      <c r="X648" s="2"/>
    </row>
    <row r="649" spans="1:24" ht="15.7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T649" s="2"/>
      <c r="U649" s="2"/>
      <c r="V649" s="2"/>
      <c r="W649" s="2"/>
      <c r="X649" s="2"/>
    </row>
    <row r="650" spans="1:24" ht="15.7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T650" s="2"/>
      <c r="U650" s="2"/>
      <c r="V650" s="2"/>
      <c r="W650" s="2"/>
      <c r="X650" s="2"/>
    </row>
    <row r="651" spans="1:24" ht="15.7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T651" s="2"/>
      <c r="U651" s="2"/>
      <c r="V651" s="2"/>
      <c r="W651" s="2"/>
      <c r="X651" s="2"/>
    </row>
    <row r="652" spans="1:24" ht="15.7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T652" s="2"/>
      <c r="U652" s="2"/>
      <c r="V652" s="2"/>
      <c r="W652" s="2"/>
      <c r="X652" s="2"/>
    </row>
    <row r="653" spans="1:24" ht="15.7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T653" s="2"/>
      <c r="U653" s="2"/>
      <c r="V653" s="2"/>
      <c r="W653" s="2"/>
      <c r="X653" s="2"/>
    </row>
    <row r="654" spans="1:24" ht="15.7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T654" s="2"/>
      <c r="U654" s="2"/>
      <c r="V654" s="2"/>
      <c r="W654" s="2"/>
      <c r="X654" s="2"/>
    </row>
    <row r="655" spans="1:24" ht="15.7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T655" s="2"/>
      <c r="U655" s="2"/>
      <c r="V655" s="2"/>
      <c r="W655" s="2"/>
      <c r="X655" s="2"/>
    </row>
    <row r="656" spans="1:24" ht="15.7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T656" s="2"/>
      <c r="U656" s="2"/>
      <c r="V656" s="2"/>
      <c r="W656" s="2"/>
      <c r="X656" s="2"/>
    </row>
    <row r="657" spans="1:24" ht="15.7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T657" s="2"/>
      <c r="U657" s="2"/>
      <c r="V657" s="2"/>
      <c r="W657" s="2"/>
      <c r="X657" s="2"/>
    </row>
    <row r="658" spans="1:24" ht="15.7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T658" s="2"/>
      <c r="U658" s="2"/>
      <c r="V658" s="2"/>
      <c r="W658" s="2"/>
      <c r="X658" s="2"/>
    </row>
    <row r="659" spans="1:24" ht="15.7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T659" s="2"/>
      <c r="U659" s="2"/>
      <c r="V659" s="2"/>
      <c r="W659" s="2"/>
      <c r="X659" s="2"/>
    </row>
    <row r="660" spans="1:24" ht="15.7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T660" s="2"/>
      <c r="U660" s="2"/>
      <c r="V660" s="2"/>
      <c r="W660" s="2"/>
      <c r="X660" s="2"/>
    </row>
    <row r="661" spans="1:24" ht="15.7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T661" s="2"/>
      <c r="U661" s="2"/>
      <c r="V661" s="2"/>
      <c r="W661" s="2"/>
      <c r="X661" s="2"/>
    </row>
    <row r="662" spans="1:24" ht="15.7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T662" s="2"/>
      <c r="U662" s="2"/>
      <c r="V662" s="2"/>
      <c r="W662" s="2"/>
      <c r="X662" s="2"/>
    </row>
    <row r="663" spans="1:24" ht="15.7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T663" s="2"/>
      <c r="U663" s="2"/>
      <c r="V663" s="2"/>
      <c r="W663" s="2"/>
      <c r="X663" s="2"/>
    </row>
    <row r="664" spans="1:24" ht="15.7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T664" s="2"/>
      <c r="U664" s="2"/>
      <c r="V664" s="2"/>
      <c r="W664" s="2"/>
      <c r="X664" s="2"/>
    </row>
    <row r="665" spans="1:24" ht="15.7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T665" s="2"/>
      <c r="U665" s="2"/>
      <c r="V665" s="2"/>
      <c r="W665" s="2"/>
      <c r="X665" s="2"/>
    </row>
    <row r="666" spans="1:24" ht="15.7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T666" s="2"/>
      <c r="U666" s="2"/>
      <c r="V666" s="2"/>
      <c r="W666" s="2"/>
      <c r="X666" s="2"/>
    </row>
    <row r="667" spans="1:24" ht="15.7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T667" s="2"/>
      <c r="U667" s="2"/>
      <c r="V667" s="2"/>
      <c r="W667" s="2"/>
      <c r="X667" s="2"/>
    </row>
    <row r="668" spans="1:24" ht="15.7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T668" s="2"/>
      <c r="U668" s="2"/>
      <c r="V668" s="2"/>
      <c r="W668" s="2"/>
      <c r="X668" s="2"/>
    </row>
    <row r="669" spans="1:24" ht="15.7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T669" s="2"/>
      <c r="U669" s="2"/>
      <c r="V669" s="2"/>
      <c r="W669" s="2"/>
      <c r="X669" s="2"/>
    </row>
    <row r="670" spans="1:24" ht="15.7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T670" s="2"/>
      <c r="U670" s="2"/>
      <c r="V670" s="2"/>
      <c r="W670" s="2"/>
      <c r="X670" s="2"/>
    </row>
    <row r="671" spans="1:24" ht="15.7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T671" s="2"/>
      <c r="U671" s="2"/>
      <c r="V671" s="2"/>
      <c r="W671" s="2"/>
      <c r="X671" s="2"/>
    </row>
    <row r="672" spans="1:24" ht="15.7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T672" s="2"/>
      <c r="U672" s="2"/>
      <c r="V672" s="2"/>
      <c r="W672" s="2"/>
      <c r="X672" s="2"/>
    </row>
    <row r="673" spans="1:24" ht="15.7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T673" s="2"/>
      <c r="U673" s="2"/>
      <c r="V673" s="2"/>
      <c r="W673" s="2"/>
      <c r="X673" s="2"/>
    </row>
    <row r="674" spans="1:24" ht="15.7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T674" s="2"/>
      <c r="U674" s="2"/>
      <c r="V674" s="2"/>
      <c r="W674" s="2"/>
      <c r="X674" s="2"/>
    </row>
    <row r="675" spans="1:24" ht="15.7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T675" s="2"/>
      <c r="U675" s="2"/>
      <c r="V675" s="2"/>
      <c r="W675" s="2"/>
      <c r="X675" s="2"/>
    </row>
    <row r="676" spans="1:24" ht="15.7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T676" s="2"/>
      <c r="U676" s="2"/>
      <c r="V676" s="2"/>
      <c r="W676" s="2"/>
      <c r="X676" s="2"/>
    </row>
    <row r="677" spans="1:24" ht="15.7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T677" s="2"/>
      <c r="U677" s="2"/>
      <c r="V677" s="2"/>
      <c r="W677" s="2"/>
      <c r="X677" s="2"/>
    </row>
    <row r="678" spans="1:24" ht="15.7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T678" s="2"/>
      <c r="U678" s="2"/>
      <c r="V678" s="2"/>
      <c r="W678" s="2"/>
      <c r="X678" s="2"/>
    </row>
    <row r="679" spans="1:24" ht="15.7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T679" s="2"/>
      <c r="U679" s="2"/>
      <c r="V679" s="2"/>
      <c r="W679" s="2"/>
      <c r="X679" s="2"/>
    </row>
    <row r="680" spans="1:24" ht="15.7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T680" s="2"/>
      <c r="U680" s="2"/>
      <c r="V680" s="2"/>
      <c r="W680" s="2"/>
      <c r="X680" s="2"/>
    </row>
    <row r="681" spans="1:24" ht="15.7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T681" s="2"/>
      <c r="U681" s="2"/>
      <c r="V681" s="2"/>
      <c r="W681" s="2"/>
      <c r="X681" s="2"/>
    </row>
    <row r="682" spans="1:24" ht="15.7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T682" s="2"/>
      <c r="U682" s="2"/>
      <c r="V682" s="2"/>
      <c r="W682" s="2"/>
      <c r="X682" s="2"/>
    </row>
    <row r="683" spans="1:24" ht="15.7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T683" s="2"/>
      <c r="U683" s="2"/>
      <c r="V683" s="2"/>
      <c r="W683" s="2"/>
      <c r="X683" s="2"/>
    </row>
    <row r="684" spans="1:24" ht="15.7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T684" s="2"/>
      <c r="U684" s="2"/>
      <c r="V684" s="2"/>
      <c r="W684" s="2"/>
      <c r="X684" s="2"/>
    </row>
    <row r="685" spans="1:24" ht="15.7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T685" s="2"/>
      <c r="U685" s="2"/>
      <c r="V685" s="2"/>
      <c r="W685" s="2"/>
      <c r="X685" s="2"/>
    </row>
    <row r="686" spans="1:24" ht="15.7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T686" s="2"/>
      <c r="U686" s="2"/>
      <c r="V686" s="2"/>
      <c r="W686" s="2"/>
      <c r="X686" s="2"/>
    </row>
    <row r="687" spans="1:24" ht="15.7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T687" s="2"/>
      <c r="U687" s="2"/>
      <c r="V687" s="2"/>
      <c r="W687" s="2"/>
      <c r="X687" s="2"/>
    </row>
    <row r="688" spans="1:24" ht="15.7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T688" s="2"/>
      <c r="U688" s="2"/>
      <c r="V688" s="2"/>
      <c r="W688" s="2"/>
      <c r="X688" s="2"/>
    </row>
    <row r="689" spans="1:24" ht="15.7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T689" s="2"/>
      <c r="U689" s="2"/>
      <c r="V689" s="2"/>
      <c r="W689" s="2"/>
      <c r="X689" s="2"/>
    </row>
    <row r="690" spans="1:24" ht="15.7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T690" s="2"/>
      <c r="U690" s="2"/>
      <c r="V690" s="2"/>
      <c r="W690" s="2"/>
      <c r="X690" s="2"/>
    </row>
    <row r="691" spans="1:24" ht="15.7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T691" s="2"/>
      <c r="U691" s="2"/>
      <c r="V691" s="2"/>
      <c r="W691" s="2"/>
      <c r="X691" s="2"/>
    </row>
    <row r="692" spans="1:24" ht="15.7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T692" s="2"/>
      <c r="U692" s="2"/>
      <c r="V692" s="2"/>
      <c r="W692" s="2"/>
      <c r="X692" s="2"/>
    </row>
    <row r="693" spans="1:24" ht="15.7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T693" s="2"/>
      <c r="U693" s="2"/>
      <c r="V693" s="2"/>
      <c r="W693" s="2"/>
      <c r="X693" s="2"/>
    </row>
    <row r="694" spans="1:24" ht="15.7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T694" s="2"/>
      <c r="U694" s="2"/>
      <c r="V694" s="2"/>
      <c r="W694" s="2"/>
      <c r="X694" s="2"/>
    </row>
    <row r="695" spans="1:24" ht="15.7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T695" s="2"/>
      <c r="U695" s="2"/>
      <c r="V695" s="2"/>
      <c r="W695" s="2"/>
      <c r="X695" s="2"/>
    </row>
    <row r="696" spans="1:24" ht="15.7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T696" s="2"/>
      <c r="U696" s="2"/>
      <c r="V696" s="2"/>
      <c r="W696" s="2"/>
      <c r="X696" s="2"/>
    </row>
    <row r="697" spans="1:24" ht="15.7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T697" s="2"/>
      <c r="U697" s="2"/>
      <c r="V697" s="2"/>
      <c r="W697" s="2"/>
      <c r="X697" s="2"/>
    </row>
    <row r="698" spans="1:24" ht="15.7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T698" s="2"/>
      <c r="U698" s="2"/>
      <c r="V698" s="2"/>
      <c r="W698" s="2"/>
      <c r="X698" s="2"/>
    </row>
    <row r="699" spans="1:24" ht="15.7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T699" s="2"/>
      <c r="U699" s="2"/>
      <c r="V699" s="2"/>
      <c r="W699" s="2"/>
      <c r="X699" s="2"/>
    </row>
    <row r="700" spans="1:24" ht="15.7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T700" s="2"/>
      <c r="U700" s="2"/>
      <c r="V700" s="2"/>
      <c r="W700" s="2"/>
      <c r="X700" s="2"/>
    </row>
    <row r="701" spans="1:24" ht="15.7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T701" s="2"/>
      <c r="U701" s="2"/>
      <c r="V701" s="2"/>
      <c r="W701" s="2"/>
      <c r="X701" s="2"/>
    </row>
    <row r="702" spans="1:24" ht="15.7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T702" s="2"/>
      <c r="U702" s="2"/>
      <c r="V702" s="2"/>
      <c r="W702" s="2"/>
      <c r="X702" s="2"/>
    </row>
    <row r="703" spans="1:24" ht="15.7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T703" s="2"/>
      <c r="U703" s="2"/>
      <c r="V703" s="2"/>
      <c r="W703" s="2"/>
      <c r="X703" s="2"/>
    </row>
    <row r="704" spans="1:24" ht="15.7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T704" s="2"/>
      <c r="U704" s="2"/>
      <c r="V704" s="2"/>
      <c r="W704" s="2"/>
      <c r="X704" s="2"/>
    </row>
    <row r="705" spans="1:24" ht="15.7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T705" s="2"/>
      <c r="U705" s="2"/>
      <c r="V705" s="2"/>
      <c r="W705" s="2"/>
      <c r="X705" s="2"/>
    </row>
    <row r="706" spans="1:24" ht="15.7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T706" s="2"/>
      <c r="U706" s="2"/>
      <c r="V706" s="2"/>
      <c r="W706" s="2"/>
      <c r="X706" s="2"/>
    </row>
    <row r="707" spans="1:24" ht="15.7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T707" s="2"/>
      <c r="U707" s="2"/>
      <c r="V707" s="2"/>
      <c r="W707" s="2"/>
      <c r="X707" s="2"/>
    </row>
    <row r="708" spans="1:24" ht="15.7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T708" s="2"/>
      <c r="U708" s="2"/>
      <c r="V708" s="2"/>
      <c r="W708" s="2"/>
      <c r="X708" s="2"/>
    </row>
    <row r="709" spans="1:24" ht="15.7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T709" s="2"/>
      <c r="U709" s="2"/>
      <c r="V709" s="2"/>
      <c r="W709" s="2"/>
      <c r="X709" s="2"/>
    </row>
    <row r="710" spans="1:24" ht="15.7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T710" s="2"/>
      <c r="U710" s="2"/>
      <c r="V710" s="2"/>
      <c r="W710" s="2"/>
      <c r="X710" s="2"/>
    </row>
    <row r="711" spans="1:24" ht="15.7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T711" s="2"/>
      <c r="U711" s="2"/>
      <c r="V711" s="2"/>
      <c r="W711" s="2"/>
      <c r="X711" s="2"/>
    </row>
    <row r="712" spans="1:24" ht="15.7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T712" s="2"/>
      <c r="U712" s="2"/>
      <c r="V712" s="2"/>
      <c r="W712" s="2"/>
      <c r="X712" s="2"/>
    </row>
    <row r="713" spans="1:24" ht="15.7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T713" s="2"/>
      <c r="U713" s="2"/>
      <c r="V713" s="2"/>
      <c r="W713" s="2"/>
      <c r="X713" s="2"/>
    </row>
    <row r="714" spans="1:24" ht="15.7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T714" s="2"/>
      <c r="U714" s="2"/>
      <c r="V714" s="2"/>
      <c r="W714" s="2"/>
      <c r="X714" s="2"/>
    </row>
    <row r="715" spans="1:24" ht="15.7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T715" s="2"/>
      <c r="U715" s="2"/>
      <c r="V715" s="2"/>
      <c r="W715" s="2"/>
      <c r="X715" s="2"/>
    </row>
    <row r="716" spans="1:24" ht="15.7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T716" s="2"/>
      <c r="U716" s="2"/>
      <c r="V716" s="2"/>
      <c r="W716" s="2"/>
      <c r="X716" s="2"/>
    </row>
    <row r="717" spans="1:24" ht="15.7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T717" s="2"/>
      <c r="U717" s="2"/>
      <c r="V717" s="2"/>
      <c r="W717" s="2"/>
      <c r="X717" s="2"/>
    </row>
    <row r="718" spans="1:24" ht="15.7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T718" s="2"/>
      <c r="U718" s="2"/>
      <c r="V718" s="2"/>
      <c r="W718" s="2"/>
      <c r="X718" s="2"/>
    </row>
    <row r="719" spans="1:24" ht="15.7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T719" s="2"/>
      <c r="U719" s="2"/>
      <c r="V719" s="2"/>
      <c r="W719" s="2"/>
      <c r="X719" s="2"/>
    </row>
    <row r="720" spans="1:24" ht="15.7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T720" s="2"/>
      <c r="U720" s="2"/>
      <c r="V720" s="2"/>
      <c r="W720" s="2"/>
      <c r="X720" s="2"/>
    </row>
    <row r="721" spans="1:24" ht="15.7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T721" s="2"/>
      <c r="U721" s="2"/>
      <c r="V721" s="2"/>
      <c r="W721" s="2"/>
      <c r="X721" s="2"/>
    </row>
    <row r="722" spans="1:24" ht="15.7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T722" s="2"/>
      <c r="U722" s="2"/>
      <c r="V722" s="2"/>
      <c r="W722" s="2"/>
      <c r="X722" s="2"/>
    </row>
    <row r="723" spans="1:24" ht="15.7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T723" s="2"/>
      <c r="U723" s="2"/>
      <c r="V723" s="2"/>
      <c r="W723" s="2"/>
      <c r="X723" s="2"/>
    </row>
    <row r="724" spans="1:24" ht="15.7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T724" s="2"/>
      <c r="U724" s="2"/>
      <c r="V724" s="2"/>
      <c r="W724" s="2"/>
      <c r="X724" s="2"/>
    </row>
    <row r="725" spans="1:24" ht="15.7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T725" s="2"/>
      <c r="U725" s="2"/>
      <c r="V725" s="2"/>
      <c r="W725" s="2"/>
      <c r="X725" s="2"/>
    </row>
    <row r="726" spans="1:24" ht="15.7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T726" s="2"/>
      <c r="U726" s="2"/>
      <c r="V726" s="2"/>
      <c r="W726" s="2"/>
      <c r="X726" s="2"/>
    </row>
    <row r="727" spans="1:24" ht="15.7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T727" s="2"/>
      <c r="U727" s="2"/>
      <c r="V727" s="2"/>
      <c r="W727" s="2"/>
      <c r="X727" s="2"/>
    </row>
    <row r="728" spans="1:24" ht="15.7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T728" s="2"/>
      <c r="U728" s="2"/>
      <c r="V728" s="2"/>
      <c r="W728" s="2"/>
      <c r="X728" s="2"/>
    </row>
    <row r="729" spans="1:24" ht="15.7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T729" s="2"/>
      <c r="U729" s="2"/>
      <c r="V729" s="2"/>
      <c r="W729" s="2"/>
      <c r="X729" s="2"/>
    </row>
    <row r="730" spans="1:24" ht="15.7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T730" s="2"/>
      <c r="U730" s="2"/>
      <c r="V730" s="2"/>
      <c r="W730" s="2"/>
      <c r="X730" s="2"/>
    </row>
    <row r="731" spans="1:24" ht="15.7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T731" s="2"/>
      <c r="U731" s="2"/>
      <c r="V731" s="2"/>
      <c r="W731" s="2"/>
      <c r="X731" s="2"/>
    </row>
    <row r="732" spans="1:24" ht="15.7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T732" s="2"/>
      <c r="U732" s="2"/>
      <c r="V732" s="2"/>
      <c r="W732" s="2"/>
      <c r="X732" s="2"/>
    </row>
    <row r="733" spans="1:24" ht="15.7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T733" s="2"/>
      <c r="U733" s="2"/>
      <c r="V733" s="2"/>
      <c r="W733" s="2"/>
      <c r="X733" s="2"/>
    </row>
    <row r="734" spans="1:24" ht="15.7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T734" s="2"/>
      <c r="U734" s="2"/>
      <c r="V734" s="2"/>
      <c r="W734" s="2"/>
      <c r="X734" s="2"/>
    </row>
    <row r="735" spans="1:24" ht="15.7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T735" s="2"/>
      <c r="U735" s="2"/>
      <c r="V735" s="2"/>
      <c r="W735" s="2"/>
      <c r="X735" s="2"/>
    </row>
    <row r="736" spans="1:24" ht="15.7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T736" s="2"/>
      <c r="U736" s="2"/>
      <c r="V736" s="2"/>
      <c r="W736" s="2"/>
      <c r="X736" s="2"/>
    </row>
    <row r="737" spans="1:24" ht="15.7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T737" s="2"/>
      <c r="U737" s="2"/>
      <c r="V737" s="2"/>
      <c r="W737" s="2"/>
      <c r="X737" s="2"/>
    </row>
    <row r="738" spans="1:24" ht="15.7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T738" s="2"/>
      <c r="U738" s="2"/>
      <c r="V738" s="2"/>
      <c r="W738" s="2"/>
      <c r="X738" s="2"/>
    </row>
    <row r="739" spans="1:24" ht="15.7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T739" s="2"/>
      <c r="U739" s="2"/>
      <c r="V739" s="2"/>
      <c r="W739" s="2"/>
      <c r="X739" s="2"/>
    </row>
    <row r="740" spans="1:24" ht="15.7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T740" s="2"/>
      <c r="U740" s="2"/>
      <c r="V740" s="2"/>
      <c r="W740" s="2"/>
      <c r="X740" s="2"/>
    </row>
    <row r="741" spans="1:24" ht="15.7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T741" s="2"/>
      <c r="U741" s="2"/>
      <c r="V741" s="2"/>
      <c r="W741" s="2"/>
      <c r="X741" s="2"/>
    </row>
    <row r="742" spans="1:24" ht="15.7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T742" s="2"/>
      <c r="U742" s="2"/>
      <c r="V742" s="2"/>
      <c r="W742" s="2"/>
      <c r="X742" s="2"/>
    </row>
    <row r="743" spans="1:24" ht="15.7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T743" s="2"/>
      <c r="U743" s="2"/>
      <c r="V743" s="2"/>
      <c r="W743" s="2"/>
      <c r="X743" s="2"/>
    </row>
    <row r="744" spans="1:24" ht="15.7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T744" s="2"/>
      <c r="U744" s="2"/>
      <c r="V744" s="2"/>
      <c r="W744" s="2"/>
      <c r="X744" s="2"/>
    </row>
    <row r="745" spans="1:24" ht="15.7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T745" s="2"/>
      <c r="U745" s="2"/>
      <c r="V745" s="2"/>
      <c r="W745" s="2"/>
      <c r="X745" s="2"/>
    </row>
    <row r="746" spans="1:24" ht="15.7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T746" s="2"/>
      <c r="U746" s="2"/>
      <c r="V746" s="2"/>
      <c r="W746" s="2"/>
      <c r="X746" s="2"/>
    </row>
    <row r="747" spans="1:24" ht="15.7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T747" s="2"/>
      <c r="U747" s="2"/>
      <c r="V747" s="2"/>
      <c r="W747" s="2"/>
      <c r="X747" s="2"/>
    </row>
    <row r="748" spans="1:24" ht="15.7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T748" s="2"/>
      <c r="U748" s="2"/>
      <c r="V748" s="2"/>
      <c r="W748" s="2"/>
      <c r="X748" s="2"/>
    </row>
    <row r="749" spans="1:24" ht="15.7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T749" s="2"/>
      <c r="U749" s="2"/>
      <c r="V749" s="2"/>
      <c r="W749" s="2"/>
      <c r="X749" s="2"/>
    </row>
    <row r="750" spans="1:24" ht="15.7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T750" s="2"/>
      <c r="U750" s="2"/>
      <c r="V750" s="2"/>
      <c r="W750" s="2"/>
      <c r="X750" s="2"/>
    </row>
    <row r="751" spans="1:24" ht="15.7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T751" s="2"/>
      <c r="U751" s="2"/>
      <c r="V751" s="2"/>
      <c r="W751" s="2"/>
      <c r="X751" s="2"/>
    </row>
    <row r="752" spans="1:24" ht="15.7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T752" s="2"/>
      <c r="U752" s="2"/>
      <c r="V752" s="2"/>
      <c r="W752" s="2"/>
      <c r="X752" s="2"/>
    </row>
    <row r="753" spans="1:24" ht="15.7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T753" s="2"/>
      <c r="U753" s="2"/>
      <c r="V753" s="2"/>
      <c r="W753" s="2"/>
      <c r="X753" s="2"/>
    </row>
    <row r="754" spans="1:24" ht="15.7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T754" s="2"/>
      <c r="U754" s="2"/>
      <c r="V754" s="2"/>
      <c r="W754" s="2"/>
      <c r="X754" s="2"/>
    </row>
    <row r="755" spans="1:24" ht="15.7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T755" s="2"/>
      <c r="U755" s="2"/>
      <c r="V755" s="2"/>
      <c r="W755" s="2"/>
      <c r="X755" s="2"/>
    </row>
    <row r="756" spans="1:24" ht="15.7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T756" s="2"/>
      <c r="U756" s="2"/>
      <c r="V756" s="2"/>
      <c r="W756" s="2"/>
      <c r="X756" s="2"/>
    </row>
    <row r="757" spans="1:24" ht="15.7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T757" s="2"/>
      <c r="U757" s="2"/>
      <c r="V757" s="2"/>
      <c r="W757" s="2"/>
      <c r="X757" s="2"/>
    </row>
    <row r="758" spans="1:24" ht="15.7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T758" s="2"/>
      <c r="U758" s="2"/>
      <c r="V758" s="2"/>
      <c r="W758" s="2"/>
      <c r="X758" s="2"/>
    </row>
    <row r="759" spans="1:24" ht="15.7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T759" s="2"/>
      <c r="U759" s="2"/>
      <c r="V759" s="2"/>
      <c r="W759" s="2"/>
      <c r="X759" s="2"/>
    </row>
    <row r="760" spans="1:24" ht="15.7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T760" s="2"/>
      <c r="U760" s="2"/>
      <c r="V760" s="2"/>
      <c r="W760" s="2"/>
      <c r="X760" s="2"/>
    </row>
    <row r="761" spans="1:24" ht="15.7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T761" s="2"/>
      <c r="U761" s="2"/>
      <c r="V761" s="2"/>
      <c r="W761" s="2"/>
      <c r="X761" s="2"/>
    </row>
    <row r="762" spans="1:24" ht="15.7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T762" s="2"/>
      <c r="U762" s="2"/>
      <c r="V762" s="2"/>
      <c r="W762" s="2"/>
      <c r="X762" s="2"/>
    </row>
    <row r="763" spans="1:24" ht="15.7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T763" s="2"/>
      <c r="U763" s="2"/>
      <c r="V763" s="2"/>
      <c r="W763" s="2"/>
      <c r="X763" s="2"/>
    </row>
    <row r="764" spans="1:24" ht="15.7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T764" s="2"/>
      <c r="U764" s="2"/>
      <c r="V764" s="2"/>
      <c r="W764" s="2"/>
      <c r="X764" s="2"/>
    </row>
    <row r="765" spans="1:24" ht="15.7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T765" s="2"/>
      <c r="U765" s="2"/>
      <c r="V765" s="2"/>
      <c r="W765" s="2"/>
      <c r="X765" s="2"/>
    </row>
    <row r="766" spans="1:24" ht="15.7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T766" s="2"/>
      <c r="U766" s="2"/>
      <c r="V766" s="2"/>
      <c r="W766" s="2"/>
      <c r="X766" s="2"/>
    </row>
    <row r="767" spans="1:24" ht="15.7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T767" s="2"/>
      <c r="U767" s="2"/>
      <c r="V767" s="2"/>
      <c r="W767" s="2"/>
      <c r="X767" s="2"/>
    </row>
    <row r="768" spans="1:24" ht="15.7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T768" s="2"/>
      <c r="U768" s="2"/>
      <c r="V768" s="2"/>
      <c r="W768" s="2"/>
      <c r="X768" s="2"/>
    </row>
    <row r="769" spans="1:24" ht="15.7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T769" s="2"/>
      <c r="U769" s="2"/>
      <c r="V769" s="2"/>
      <c r="W769" s="2"/>
      <c r="X769" s="2"/>
    </row>
    <row r="770" spans="1:24" ht="15.7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T770" s="2"/>
      <c r="U770" s="2"/>
      <c r="V770" s="2"/>
      <c r="W770" s="2"/>
      <c r="X770" s="2"/>
    </row>
    <row r="771" spans="1:24" ht="15.7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T771" s="2"/>
      <c r="U771" s="2"/>
      <c r="V771" s="2"/>
      <c r="W771" s="2"/>
      <c r="X771" s="2"/>
    </row>
    <row r="772" spans="1:24" ht="15.7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T772" s="2"/>
      <c r="U772" s="2"/>
      <c r="V772" s="2"/>
      <c r="W772" s="2"/>
      <c r="X772" s="2"/>
    </row>
    <row r="773" spans="1:24" ht="15.7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T773" s="2"/>
      <c r="U773" s="2"/>
      <c r="V773" s="2"/>
      <c r="W773" s="2"/>
      <c r="X773" s="2"/>
    </row>
    <row r="774" spans="1:24" ht="15.7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T774" s="2"/>
      <c r="U774" s="2"/>
      <c r="V774" s="2"/>
      <c r="W774" s="2"/>
      <c r="X774" s="2"/>
    </row>
    <row r="775" spans="1:24" ht="15.7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T775" s="2"/>
      <c r="U775" s="2"/>
      <c r="V775" s="2"/>
      <c r="W775" s="2"/>
      <c r="X775" s="2"/>
    </row>
    <row r="776" spans="1:24" ht="15.7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T776" s="2"/>
      <c r="U776" s="2"/>
      <c r="V776" s="2"/>
      <c r="W776" s="2"/>
      <c r="X776" s="2"/>
    </row>
    <row r="777" spans="1:24" ht="15.7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T777" s="2"/>
      <c r="U777" s="2"/>
      <c r="V777" s="2"/>
      <c r="W777" s="2"/>
      <c r="X777" s="2"/>
    </row>
    <row r="778" spans="1:24" ht="15.7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T778" s="2"/>
      <c r="U778" s="2"/>
      <c r="V778" s="2"/>
      <c r="W778" s="2"/>
      <c r="X778" s="2"/>
    </row>
    <row r="779" spans="1:24" ht="15.7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T779" s="2"/>
      <c r="U779" s="2"/>
      <c r="V779" s="2"/>
      <c r="W779" s="2"/>
      <c r="X779" s="2"/>
    </row>
    <row r="780" spans="1:24" ht="15.7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T780" s="2"/>
      <c r="U780" s="2"/>
      <c r="V780" s="2"/>
      <c r="W780" s="2"/>
      <c r="X780" s="2"/>
    </row>
    <row r="781" spans="1:24" ht="15.7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T781" s="2"/>
      <c r="U781" s="2"/>
      <c r="V781" s="2"/>
      <c r="W781" s="2"/>
      <c r="X781" s="2"/>
    </row>
    <row r="782" spans="1:24" ht="15.7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T782" s="2"/>
      <c r="U782" s="2"/>
      <c r="V782" s="2"/>
      <c r="W782" s="2"/>
      <c r="X782" s="2"/>
    </row>
    <row r="783" spans="1:24" ht="15.7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T783" s="2"/>
      <c r="U783" s="2"/>
      <c r="V783" s="2"/>
      <c r="W783" s="2"/>
      <c r="X783" s="2"/>
    </row>
    <row r="784" spans="1:24" ht="15.7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T784" s="2"/>
      <c r="U784" s="2"/>
      <c r="V784" s="2"/>
      <c r="W784" s="2"/>
      <c r="X784" s="2"/>
    </row>
    <row r="785" spans="1:24" ht="15.7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T785" s="2"/>
      <c r="U785" s="2"/>
      <c r="V785" s="2"/>
      <c r="W785" s="2"/>
      <c r="X785" s="2"/>
    </row>
    <row r="786" spans="1:24" ht="15.7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T786" s="2"/>
      <c r="U786" s="2"/>
      <c r="V786" s="2"/>
      <c r="W786" s="2"/>
      <c r="X786" s="2"/>
    </row>
    <row r="787" spans="1:24" ht="15.7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T787" s="2"/>
      <c r="U787" s="2"/>
      <c r="V787" s="2"/>
      <c r="W787" s="2"/>
      <c r="X787" s="2"/>
    </row>
    <row r="788" spans="1:24" ht="15.7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T788" s="2"/>
      <c r="U788" s="2"/>
      <c r="V788" s="2"/>
      <c r="W788" s="2"/>
      <c r="X788" s="2"/>
    </row>
    <row r="789" spans="1:24" ht="15.7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T789" s="2"/>
      <c r="U789" s="2"/>
      <c r="V789" s="2"/>
      <c r="W789" s="2"/>
      <c r="X789" s="2"/>
    </row>
    <row r="790" spans="1:24" ht="15.7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T790" s="2"/>
      <c r="U790" s="2"/>
      <c r="V790" s="2"/>
      <c r="W790" s="2"/>
      <c r="X790" s="2"/>
    </row>
    <row r="791" spans="1:24" ht="15.7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T791" s="2"/>
      <c r="U791" s="2"/>
      <c r="V791" s="2"/>
      <c r="W791" s="2"/>
      <c r="X791" s="2"/>
    </row>
    <row r="792" spans="1:24" ht="15.7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T792" s="2"/>
      <c r="U792" s="2"/>
      <c r="V792" s="2"/>
      <c r="W792" s="2"/>
      <c r="X792" s="2"/>
    </row>
    <row r="793" spans="1:24" ht="15.7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T793" s="2"/>
      <c r="U793" s="2"/>
      <c r="V793" s="2"/>
      <c r="W793" s="2"/>
      <c r="X793" s="2"/>
    </row>
    <row r="794" spans="1:24" ht="15.7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T794" s="2"/>
      <c r="U794" s="2"/>
      <c r="V794" s="2"/>
      <c r="W794" s="2"/>
      <c r="X794" s="2"/>
    </row>
    <row r="795" spans="1:24" ht="15.7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T795" s="2"/>
      <c r="U795" s="2"/>
      <c r="V795" s="2"/>
      <c r="W795" s="2"/>
      <c r="X795" s="2"/>
    </row>
    <row r="796" spans="1:24" ht="15.7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T796" s="2"/>
      <c r="U796" s="2"/>
      <c r="V796" s="2"/>
      <c r="W796" s="2"/>
      <c r="X796" s="2"/>
    </row>
    <row r="797" spans="1:24" ht="15.7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T797" s="2"/>
      <c r="U797" s="2"/>
      <c r="V797" s="2"/>
      <c r="W797" s="2"/>
      <c r="X797" s="2"/>
    </row>
    <row r="798" spans="1:24" ht="15.7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T798" s="2"/>
      <c r="U798" s="2"/>
      <c r="V798" s="2"/>
      <c r="W798" s="2"/>
      <c r="X798" s="2"/>
    </row>
    <row r="799" spans="1:24" ht="15.7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T799" s="2"/>
      <c r="U799" s="2"/>
      <c r="V799" s="2"/>
      <c r="W799" s="2"/>
      <c r="X799" s="2"/>
    </row>
    <row r="800" spans="1:24" ht="15.7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T800" s="2"/>
      <c r="U800" s="2"/>
      <c r="V800" s="2"/>
      <c r="W800" s="2"/>
      <c r="X800" s="2"/>
    </row>
    <row r="801" spans="1:24" ht="15.7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T801" s="2"/>
      <c r="U801" s="2"/>
      <c r="V801" s="2"/>
      <c r="W801" s="2"/>
      <c r="X801" s="2"/>
    </row>
    <row r="802" spans="1:24" ht="15.7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T802" s="2"/>
      <c r="U802" s="2"/>
      <c r="V802" s="2"/>
      <c r="W802" s="2"/>
      <c r="X802" s="2"/>
    </row>
    <row r="803" spans="1:24" ht="15.7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T803" s="2"/>
      <c r="U803" s="2"/>
      <c r="V803" s="2"/>
      <c r="W803" s="2"/>
      <c r="X803" s="2"/>
    </row>
    <row r="804" spans="1:24" ht="15.7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T804" s="2"/>
      <c r="U804" s="2"/>
      <c r="V804" s="2"/>
      <c r="W804" s="2"/>
      <c r="X804" s="2"/>
    </row>
    <row r="805" spans="1:24" ht="15.7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T805" s="2"/>
      <c r="U805" s="2"/>
      <c r="V805" s="2"/>
      <c r="W805" s="2"/>
      <c r="X805" s="2"/>
    </row>
    <row r="806" spans="1:24" ht="15.7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T806" s="2"/>
      <c r="U806" s="2"/>
      <c r="V806" s="2"/>
      <c r="W806" s="2"/>
      <c r="X806" s="2"/>
    </row>
    <row r="807" spans="1:24" ht="15.7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T807" s="2"/>
      <c r="U807" s="2"/>
      <c r="V807" s="2"/>
      <c r="W807" s="2"/>
      <c r="X807" s="2"/>
    </row>
    <row r="808" spans="1:24" ht="15.7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T808" s="2"/>
      <c r="U808" s="2"/>
      <c r="V808" s="2"/>
      <c r="W808" s="2"/>
      <c r="X808" s="2"/>
    </row>
    <row r="809" spans="1:24" ht="15.7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T809" s="2"/>
      <c r="U809" s="2"/>
      <c r="V809" s="2"/>
      <c r="W809" s="2"/>
      <c r="X809" s="2"/>
    </row>
    <row r="810" spans="1:24" ht="15.7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T810" s="2"/>
      <c r="U810" s="2"/>
      <c r="V810" s="2"/>
      <c r="W810" s="2"/>
      <c r="X810" s="2"/>
    </row>
    <row r="811" spans="1:24" ht="15.7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T811" s="2"/>
      <c r="U811" s="2"/>
      <c r="V811" s="2"/>
      <c r="W811" s="2"/>
      <c r="X811" s="2"/>
    </row>
    <row r="812" spans="1:24" ht="15.7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T812" s="2"/>
      <c r="U812" s="2"/>
      <c r="V812" s="2"/>
      <c r="W812" s="2"/>
      <c r="X812" s="2"/>
    </row>
    <row r="813" spans="1:24" ht="15.7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T813" s="2"/>
      <c r="U813" s="2"/>
      <c r="V813" s="2"/>
      <c r="W813" s="2"/>
      <c r="X813" s="2"/>
    </row>
    <row r="814" spans="1:24" ht="15.7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T814" s="2"/>
      <c r="U814" s="2"/>
      <c r="V814" s="2"/>
      <c r="W814" s="2"/>
      <c r="X814" s="2"/>
    </row>
    <row r="815" spans="1:24" ht="15.7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T815" s="2"/>
      <c r="U815" s="2"/>
      <c r="V815" s="2"/>
      <c r="W815" s="2"/>
      <c r="X815" s="2"/>
    </row>
    <row r="816" spans="1:24" ht="15.7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T816" s="2"/>
      <c r="U816" s="2"/>
      <c r="V816" s="2"/>
      <c r="W816" s="2"/>
      <c r="X816" s="2"/>
    </row>
    <row r="817" spans="1:24" ht="15.7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T817" s="2"/>
      <c r="U817" s="2"/>
      <c r="V817" s="2"/>
      <c r="W817" s="2"/>
      <c r="X817" s="2"/>
    </row>
    <row r="818" spans="1:24" ht="15.7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T818" s="2"/>
      <c r="U818" s="2"/>
      <c r="V818" s="2"/>
      <c r="W818" s="2"/>
      <c r="X818" s="2"/>
    </row>
    <row r="819" spans="1:24" ht="15.7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T819" s="2"/>
      <c r="U819" s="2"/>
      <c r="V819" s="2"/>
      <c r="W819" s="2"/>
      <c r="X819" s="2"/>
    </row>
    <row r="820" spans="1:24" ht="15.7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T820" s="2"/>
      <c r="U820" s="2"/>
      <c r="V820" s="2"/>
      <c r="W820" s="2"/>
      <c r="X820" s="2"/>
    </row>
    <row r="821" spans="1:24" ht="15.7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T821" s="2"/>
      <c r="U821" s="2"/>
      <c r="V821" s="2"/>
      <c r="W821" s="2"/>
      <c r="X821" s="2"/>
    </row>
    <row r="822" spans="1:24" ht="15.7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T822" s="2"/>
      <c r="U822" s="2"/>
      <c r="V822" s="2"/>
      <c r="W822" s="2"/>
      <c r="X822" s="2"/>
    </row>
    <row r="823" spans="1:24" ht="15.7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T823" s="2"/>
      <c r="U823" s="2"/>
      <c r="V823" s="2"/>
      <c r="W823" s="2"/>
      <c r="X823" s="2"/>
    </row>
    <row r="824" spans="1:24" ht="15.7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T824" s="2"/>
      <c r="U824" s="2"/>
      <c r="V824" s="2"/>
      <c r="W824" s="2"/>
      <c r="X824" s="2"/>
    </row>
    <row r="825" spans="1:24" ht="15.7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T825" s="2"/>
      <c r="U825" s="2"/>
      <c r="V825" s="2"/>
      <c r="W825" s="2"/>
      <c r="X825" s="2"/>
    </row>
    <row r="826" spans="1:24" ht="15.7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T826" s="2"/>
      <c r="U826" s="2"/>
      <c r="V826" s="2"/>
      <c r="W826" s="2"/>
      <c r="X826" s="2"/>
    </row>
    <row r="827" spans="1:24" ht="15.7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T827" s="2"/>
      <c r="U827" s="2"/>
      <c r="V827" s="2"/>
      <c r="W827" s="2"/>
      <c r="X827" s="2"/>
    </row>
    <row r="828" spans="1:24" ht="15.7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T828" s="2"/>
      <c r="U828" s="2"/>
      <c r="V828" s="2"/>
      <c r="W828" s="2"/>
      <c r="X828" s="2"/>
    </row>
    <row r="829" spans="1:24" ht="15.7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T829" s="2"/>
      <c r="U829" s="2"/>
      <c r="V829" s="2"/>
      <c r="W829" s="2"/>
      <c r="X829" s="2"/>
    </row>
    <row r="830" spans="1:24" ht="15.7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T830" s="2"/>
      <c r="U830" s="2"/>
      <c r="V830" s="2"/>
      <c r="W830" s="2"/>
      <c r="X830" s="2"/>
    </row>
    <row r="831" spans="1:24" ht="15.7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T831" s="2"/>
      <c r="U831" s="2"/>
      <c r="V831" s="2"/>
      <c r="W831" s="2"/>
      <c r="X831" s="2"/>
    </row>
    <row r="832" spans="1:24" ht="15.7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T832" s="2"/>
      <c r="U832" s="2"/>
      <c r="V832" s="2"/>
      <c r="W832" s="2"/>
      <c r="X832" s="2"/>
    </row>
    <row r="833" spans="1:24" ht="15.7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T833" s="2"/>
      <c r="U833" s="2"/>
      <c r="V833" s="2"/>
      <c r="W833" s="2"/>
      <c r="X833" s="2"/>
    </row>
    <row r="834" spans="1:24" ht="15.7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T834" s="2"/>
      <c r="U834" s="2"/>
      <c r="V834" s="2"/>
      <c r="W834" s="2"/>
      <c r="X834" s="2"/>
    </row>
    <row r="835" spans="1:24" ht="15.7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T835" s="2"/>
      <c r="U835" s="2"/>
      <c r="V835" s="2"/>
      <c r="W835" s="2"/>
      <c r="X835" s="2"/>
    </row>
    <row r="836" spans="1:24" ht="15.7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T836" s="2"/>
      <c r="U836" s="2"/>
      <c r="V836" s="2"/>
      <c r="W836" s="2"/>
      <c r="X836" s="2"/>
    </row>
    <row r="837" spans="1:24" ht="15.7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T837" s="2"/>
      <c r="U837" s="2"/>
      <c r="V837" s="2"/>
      <c r="W837" s="2"/>
      <c r="X837" s="2"/>
    </row>
    <row r="838" spans="1:24" ht="15.7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T838" s="2"/>
      <c r="U838" s="2"/>
      <c r="V838" s="2"/>
      <c r="W838" s="2"/>
      <c r="X838" s="2"/>
    </row>
    <row r="839" spans="1:24" ht="15.7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T839" s="2"/>
      <c r="U839" s="2"/>
      <c r="V839" s="2"/>
      <c r="W839" s="2"/>
      <c r="X839" s="2"/>
    </row>
    <row r="840" spans="1:24" ht="15.7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T840" s="2"/>
      <c r="U840" s="2"/>
      <c r="V840" s="2"/>
      <c r="W840" s="2"/>
      <c r="X840" s="2"/>
    </row>
    <row r="841" spans="1:24" ht="15.7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T841" s="2"/>
      <c r="U841" s="2"/>
      <c r="V841" s="2"/>
      <c r="W841" s="2"/>
      <c r="X841" s="2"/>
    </row>
    <row r="842" spans="1:24" ht="15.7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T842" s="2"/>
      <c r="U842" s="2"/>
      <c r="V842" s="2"/>
      <c r="W842" s="2"/>
      <c r="X842" s="2"/>
    </row>
    <row r="843" spans="1:24" ht="15.7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T843" s="2"/>
      <c r="U843" s="2"/>
      <c r="V843" s="2"/>
      <c r="W843" s="2"/>
      <c r="X843" s="2"/>
    </row>
    <row r="844" spans="1:24" ht="15.7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T844" s="2"/>
      <c r="U844" s="2"/>
      <c r="V844" s="2"/>
      <c r="W844" s="2"/>
      <c r="X844" s="2"/>
    </row>
    <row r="845" spans="1:24" ht="15.7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T845" s="2"/>
      <c r="U845" s="2"/>
      <c r="V845" s="2"/>
      <c r="W845" s="2"/>
      <c r="X845" s="2"/>
    </row>
    <row r="846" spans="1:24" ht="15.7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T846" s="2"/>
      <c r="U846" s="2"/>
      <c r="V846" s="2"/>
      <c r="W846" s="2"/>
      <c r="X846" s="2"/>
    </row>
    <row r="847" spans="1:24" ht="15.7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T847" s="2"/>
      <c r="U847" s="2"/>
      <c r="V847" s="2"/>
      <c r="W847" s="2"/>
      <c r="X847" s="2"/>
    </row>
    <row r="848" spans="1:24" ht="15.7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T848" s="2"/>
      <c r="U848" s="2"/>
      <c r="V848" s="2"/>
      <c r="W848" s="2"/>
      <c r="X848" s="2"/>
    </row>
    <row r="849" spans="1:24" ht="15.7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T849" s="2"/>
      <c r="U849" s="2"/>
      <c r="V849" s="2"/>
      <c r="W849" s="2"/>
      <c r="X849" s="2"/>
    </row>
    <row r="850" spans="1:24" ht="15.7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T850" s="2"/>
      <c r="U850" s="2"/>
      <c r="V850" s="2"/>
      <c r="W850" s="2"/>
      <c r="X850" s="2"/>
    </row>
    <row r="851" spans="1:24" ht="15.7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T851" s="2"/>
      <c r="U851" s="2"/>
      <c r="V851" s="2"/>
      <c r="W851" s="2"/>
      <c r="X851" s="2"/>
    </row>
    <row r="852" spans="1:24" ht="15.7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T852" s="2"/>
      <c r="U852" s="2"/>
      <c r="V852" s="2"/>
      <c r="W852" s="2"/>
      <c r="X852" s="2"/>
    </row>
    <row r="853" spans="1:24" ht="15.7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T853" s="2"/>
      <c r="U853" s="2"/>
      <c r="V853" s="2"/>
      <c r="W853" s="2"/>
      <c r="X853" s="2"/>
    </row>
    <row r="854" spans="1:24" ht="15.7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T854" s="2"/>
      <c r="U854" s="2"/>
      <c r="V854" s="2"/>
      <c r="W854" s="2"/>
      <c r="X854" s="2"/>
    </row>
    <row r="855" spans="1:24" ht="15.7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T855" s="2"/>
      <c r="U855" s="2"/>
      <c r="V855" s="2"/>
      <c r="W855" s="2"/>
      <c r="X855" s="2"/>
    </row>
    <row r="856" spans="1:24" ht="15.7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T856" s="2"/>
      <c r="U856" s="2"/>
      <c r="V856" s="2"/>
      <c r="W856" s="2"/>
      <c r="X856" s="2"/>
    </row>
    <row r="857" spans="1:24" ht="15.7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T857" s="2"/>
      <c r="U857" s="2"/>
      <c r="V857" s="2"/>
      <c r="W857" s="2"/>
      <c r="X857" s="2"/>
    </row>
    <row r="858" spans="1:24" ht="15.7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T858" s="2"/>
      <c r="U858" s="2"/>
      <c r="V858" s="2"/>
      <c r="W858" s="2"/>
      <c r="X858" s="2"/>
    </row>
    <row r="859" spans="1:24" ht="15.7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T859" s="2"/>
      <c r="U859" s="2"/>
      <c r="V859" s="2"/>
      <c r="W859" s="2"/>
      <c r="X859" s="2"/>
    </row>
    <row r="860" spans="1:24" ht="15.7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T860" s="2"/>
      <c r="U860" s="2"/>
      <c r="V860" s="2"/>
      <c r="W860" s="2"/>
      <c r="X860" s="2"/>
    </row>
    <row r="861" spans="1:24" ht="15.7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T861" s="2"/>
      <c r="U861" s="2"/>
      <c r="V861" s="2"/>
      <c r="W861" s="2"/>
      <c r="X861" s="2"/>
    </row>
    <row r="862" spans="1:24" ht="15.7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T862" s="2"/>
      <c r="U862" s="2"/>
      <c r="V862" s="2"/>
      <c r="W862" s="2"/>
      <c r="X862" s="2"/>
    </row>
    <row r="863" spans="1:24" ht="15.7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T863" s="2"/>
      <c r="U863" s="2"/>
      <c r="V863" s="2"/>
      <c r="W863" s="2"/>
      <c r="X863" s="2"/>
    </row>
    <row r="864" spans="1:24" ht="15.7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T864" s="2"/>
      <c r="U864" s="2"/>
      <c r="V864" s="2"/>
      <c r="W864" s="2"/>
      <c r="X864" s="2"/>
    </row>
    <row r="865" spans="1:24" ht="15.7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T865" s="2"/>
      <c r="U865" s="2"/>
      <c r="V865" s="2"/>
      <c r="W865" s="2"/>
      <c r="X865" s="2"/>
    </row>
    <row r="866" spans="1:24" ht="15.7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T866" s="2"/>
      <c r="U866" s="2"/>
      <c r="V866" s="2"/>
      <c r="W866" s="2"/>
      <c r="X866" s="2"/>
    </row>
    <row r="867" spans="1:24" ht="15.7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T867" s="2"/>
      <c r="U867" s="2"/>
      <c r="V867" s="2"/>
      <c r="W867" s="2"/>
      <c r="X867" s="2"/>
    </row>
    <row r="868" spans="1:24" ht="15.7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T868" s="2"/>
      <c r="U868" s="2"/>
      <c r="V868" s="2"/>
      <c r="W868" s="2"/>
      <c r="X868" s="2"/>
    </row>
    <row r="869" spans="1:24" ht="15.7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T869" s="2"/>
      <c r="U869" s="2"/>
      <c r="V869" s="2"/>
      <c r="W869" s="2"/>
      <c r="X869" s="2"/>
    </row>
    <row r="870" spans="1:24" ht="15.7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T870" s="2"/>
      <c r="U870" s="2"/>
      <c r="V870" s="2"/>
      <c r="W870" s="2"/>
      <c r="X870" s="2"/>
    </row>
    <row r="871" spans="1:24" ht="15.7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T871" s="2"/>
      <c r="U871" s="2"/>
      <c r="V871" s="2"/>
      <c r="W871" s="2"/>
      <c r="X871" s="2"/>
    </row>
    <row r="872" spans="1:24" ht="15.7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T872" s="2"/>
      <c r="U872" s="2"/>
      <c r="V872" s="2"/>
      <c r="W872" s="2"/>
      <c r="X872" s="2"/>
    </row>
    <row r="873" spans="1:24" ht="15.7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T873" s="2"/>
      <c r="U873" s="2"/>
      <c r="V873" s="2"/>
      <c r="W873" s="2"/>
      <c r="X873" s="2"/>
    </row>
    <row r="874" spans="1:24" ht="15.7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T874" s="2"/>
      <c r="U874" s="2"/>
      <c r="V874" s="2"/>
      <c r="W874" s="2"/>
      <c r="X874" s="2"/>
    </row>
    <row r="875" spans="1:24" ht="15.7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T875" s="2"/>
      <c r="U875" s="2"/>
      <c r="V875" s="2"/>
      <c r="W875" s="2"/>
      <c r="X875" s="2"/>
    </row>
    <row r="876" spans="1:24" ht="15.7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T876" s="2"/>
      <c r="U876" s="2"/>
      <c r="V876" s="2"/>
      <c r="W876" s="2"/>
      <c r="X876" s="2"/>
    </row>
    <row r="877" spans="1:24" ht="15.7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T877" s="2"/>
      <c r="U877" s="2"/>
      <c r="V877" s="2"/>
      <c r="W877" s="2"/>
      <c r="X877" s="2"/>
    </row>
    <row r="878" spans="1:24" ht="15.7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T878" s="2"/>
      <c r="U878" s="2"/>
      <c r="V878" s="2"/>
      <c r="W878" s="2"/>
      <c r="X878" s="2"/>
    </row>
    <row r="879" spans="1:24" ht="15.7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T879" s="2"/>
      <c r="U879" s="2"/>
      <c r="V879" s="2"/>
      <c r="W879" s="2"/>
      <c r="X879" s="2"/>
    </row>
    <row r="880" spans="1:24" ht="15.7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T880" s="2"/>
      <c r="U880" s="2"/>
      <c r="V880" s="2"/>
      <c r="W880" s="2"/>
      <c r="X880" s="2"/>
    </row>
    <row r="881" spans="1:24" ht="15.7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T881" s="2"/>
      <c r="U881" s="2"/>
      <c r="V881" s="2"/>
      <c r="W881" s="2"/>
      <c r="X881" s="2"/>
    </row>
    <row r="882" spans="1:24" ht="15.7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T882" s="2"/>
      <c r="U882" s="2"/>
      <c r="V882" s="2"/>
      <c r="W882" s="2"/>
      <c r="X882" s="2"/>
    </row>
    <row r="883" spans="1:24" ht="15.7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T883" s="2"/>
      <c r="U883" s="2"/>
      <c r="V883" s="2"/>
      <c r="W883" s="2"/>
      <c r="X883" s="2"/>
    </row>
    <row r="884" spans="1:24" ht="15.7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T884" s="2"/>
      <c r="U884" s="2"/>
      <c r="V884" s="2"/>
      <c r="W884" s="2"/>
      <c r="X884" s="2"/>
    </row>
    <row r="885" spans="1:24" ht="15.7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T885" s="2"/>
      <c r="U885" s="2"/>
      <c r="V885" s="2"/>
      <c r="W885" s="2"/>
      <c r="X885" s="2"/>
    </row>
    <row r="886" spans="1:24" ht="15.7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T886" s="2"/>
      <c r="U886" s="2"/>
      <c r="V886" s="2"/>
      <c r="W886" s="2"/>
      <c r="X886" s="2"/>
    </row>
    <row r="887" spans="1:24" ht="15.7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T887" s="2"/>
      <c r="U887" s="2"/>
      <c r="V887" s="2"/>
      <c r="W887" s="2"/>
      <c r="X887" s="2"/>
    </row>
    <row r="888" spans="1:24" ht="15.7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T888" s="2"/>
      <c r="U888" s="2"/>
      <c r="V888" s="2"/>
      <c r="W888" s="2"/>
      <c r="X888" s="2"/>
    </row>
    <row r="889" spans="1:24" ht="15.7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T889" s="2"/>
      <c r="U889" s="2"/>
      <c r="V889" s="2"/>
      <c r="W889" s="2"/>
      <c r="X889" s="2"/>
    </row>
    <row r="890" spans="1:24" ht="15.7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T890" s="2"/>
      <c r="U890" s="2"/>
      <c r="V890" s="2"/>
      <c r="W890" s="2"/>
      <c r="X890" s="2"/>
    </row>
    <row r="891" spans="1:24" ht="15.7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T891" s="2"/>
      <c r="U891" s="2"/>
      <c r="V891" s="2"/>
      <c r="W891" s="2"/>
      <c r="X891" s="2"/>
    </row>
    <row r="892" spans="1:24" ht="15.7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T892" s="2"/>
      <c r="U892" s="2"/>
      <c r="V892" s="2"/>
      <c r="W892" s="2"/>
      <c r="X892" s="2"/>
    </row>
    <row r="893" spans="1:24" ht="15.7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T893" s="2"/>
      <c r="U893" s="2"/>
      <c r="V893" s="2"/>
      <c r="W893" s="2"/>
      <c r="X893" s="2"/>
    </row>
    <row r="894" spans="1:24" ht="15.7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T894" s="2"/>
      <c r="U894" s="2"/>
      <c r="V894" s="2"/>
      <c r="W894" s="2"/>
      <c r="X894" s="2"/>
    </row>
    <row r="895" spans="1:24" ht="15.7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T895" s="2"/>
      <c r="U895" s="2"/>
      <c r="V895" s="2"/>
      <c r="W895" s="2"/>
      <c r="X895" s="2"/>
    </row>
    <row r="896" spans="1:24" ht="15.7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T896" s="2"/>
      <c r="U896" s="2"/>
      <c r="V896" s="2"/>
      <c r="W896" s="2"/>
      <c r="X896" s="2"/>
    </row>
    <row r="897" spans="1:24" ht="15.7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T897" s="2"/>
      <c r="U897" s="2"/>
      <c r="V897" s="2"/>
      <c r="W897" s="2"/>
      <c r="X897" s="2"/>
    </row>
    <row r="898" spans="1:24" ht="15.7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T898" s="2"/>
      <c r="U898" s="2"/>
      <c r="V898" s="2"/>
      <c r="W898" s="2"/>
      <c r="X898" s="2"/>
    </row>
    <row r="899" spans="1:24" ht="15.7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T899" s="2"/>
      <c r="U899" s="2"/>
      <c r="V899" s="2"/>
      <c r="W899" s="2"/>
      <c r="X899" s="2"/>
    </row>
    <row r="900" spans="1:24" ht="15.7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T900" s="2"/>
      <c r="U900" s="2"/>
      <c r="V900" s="2"/>
      <c r="W900" s="2"/>
      <c r="X900" s="2"/>
    </row>
    <row r="901" spans="1:24" ht="15.7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T901" s="2"/>
      <c r="U901" s="2"/>
      <c r="V901" s="2"/>
      <c r="W901" s="2"/>
      <c r="X901" s="2"/>
    </row>
    <row r="902" spans="1:24" ht="15.7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T902" s="2"/>
      <c r="U902" s="2"/>
      <c r="V902" s="2"/>
      <c r="W902" s="2"/>
      <c r="X902" s="2"/>
    </row>
    <row r="903" spans="1:24" ht="15.7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T903" s="2"/>
      <c r="U903" s="2"/>
      <c r="V903" s="2"/>
      <c r="W903" s="2"/>
      <c r="X903" s="2"/>
    </row>
    <row r="904" spans="1:24" ht="15.7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T904" s="2"/>
      <c r="U904" s="2"/>
      <c r="V904" s="2"/>
      <c r="W904" s="2"/>
      <c r="X904" s="2"/>
    </row>
    <row r="905" spans="1:24" ht="15.7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T905" s="2"/>
      <c r="U905" s="2"/>
      <c r="V905" s="2"/>
      <c r="W905" s="2"/>
      <c r="X905" s="2"/>
    </row>
    <row r="906" spans="1:24" ht="15.7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T906" s="2"/>
      <c r="U906" s="2"/>
      <c r="V906" s="2"/>
      <c r="W906" s="2"/>
      <c r="X906" s="2"/>
    </row>
    <row r="907" spans="1:24" ht="15.7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T907" s="2"/>
      <c r="U907" s="2"/>
      <c r="V907" s="2"/>
      <c r="W907" s="2"/>
      <c r="X907" s="2"/>
    </row>
    <row r="908" spans="1:24" ht="15.7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T908" s="2"/>
      <c r="U908" s="2"/>
      <c r="V908" s="2"/>
      <c r="W908" s="2"/>
      <c r="X908" s="2"/>
    </row>
    <row r="909" spans="1:24" ht="15.7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T909" s="2"/>
      <c r="U909" s="2"/>
      <c r="V909" s="2"/>
      <c r="W909" s="2"/>
      <c r="X909" s="2"/>
    </row>
    <row r="910" spans="1:24" ht="15.7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T910" s="2"/>
      <c r="U910" s="2"/>
      <c r="V910" s="2"/>
      <c r="W910" s="2"/>
      <c r="X910" s="2"/>
    </row>
    <row r="911" spans="1:24" ht="15.7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T911" s="2"/>
      <c r="U911" s="2"/>
      <c r="V911" s="2"/>
      <c r="W911" s="2"/>
      <c r="X911" s="2"/>
    </row>
    <row r="912" spans="1:24" ht="15.7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T912" s="2"/>
      <c r="U912" s="2"/>
      <c r="V912" s="2"/>
      <c r="W912" s="2"/>
      <c r="X912" s="2"/>
    </row>
    <row r="913" spans="1:24" ht="15.7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T913" s="2"/>
      <c r="U913" s="2"/>
      <c r="V913" s="2"/>
      <c r="W913" s="2"/>
      <c r="X913" s="2"/>
    </row>
    <row r="914" spans="1:24" ht="15.7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T914" s="2"/>
      <c r="U914" s="2"/>
      <c r="V914" s="2"/>
      <c r="W914" s="2"/>
      <c r="X914" s="2"/>
    </row>
    <row r="915" spans="1:24" ht="15.7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T915" s="2"/>
      <c r="U915" s="2"/>
      <c r="V915" s="2"/>
      <c r="W915" s="2"/>
      <c r="X915" s="2"/>
    </row>
    <row r="916" spans="1:24" ht="15.7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T916" s="2"/>
      <c r="U916" s="2"/>
      <c r="V916" s="2"/>
      <c r="W916" s="2"/>
      <c r="X916" s="2"/>
    </row>
    <row r="917" spans="1:24" ht="15.7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T917" s="2"/>
      <c r="U917" s="2"/>
      <c r="V917" s="2"/>
      <c r="W917" s="2"/>
      <c r="X917" s="2"/>
    </row>
    <row r="918" spans="1:24" ht="15.7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T918" s="2"/>
      <c r="U918" s="2"/>
      <c r="V918" s="2"/>
      <c r="W918" s="2"/>
      <c r="X918" s="2"/>
    </row>
    <row r="919" spans="1:24" ht="15.7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T919" s="2"/>
      <c r="U919" s="2"/>
      <c r="V919" s="2"/>
      <c r="W919" s="2"/>
      <c r="X919" s="2"/>
    </row>
    <row r="920" spans="1:24" ht="15.7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T920" s="2"/>
      <c r="U920" s="2"/>
      <c r="V920" s="2"/>
      <c r="W920" s="2"/>
      <c r="X920" s="2"/>
    </row>
    <row r="921" spans="1:24" ht="15.7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T921" s="2"/>
      <c r="U921" s="2"/>
      <c r="V921" s="2"/>
      <c r="W921" s="2"/>
      <c r="X921" s="2"/>
    </row>
    <row r="922" spans="1:24" ht="15.7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T922" s="2"/>
      <c r="U922" s="2"/>
      <c r="V922" s="2"/>
      <c r="W922" s="2"/>
      <c r="X922" s="2"/>
    </row>
    <row r="923" spans="1:24" ht="15.7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T923" s="2"/>
      <c r="U923" s="2"/>
      <c r="V923" s="2"/>
      <c r="W923" s="2"/>
      <c r="X923" s="2"/>
    </row>
    <row r="924" spans="1:24" ht="15.7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T924" s="2"/>
      <c r="U924" s="2"/>
      <c r="V924" s="2"/>
      <c r="W924" s="2"/>
      <c r="X924" s="2"/>
    </row>
    <row r="925" spans="1:24" ht="15.7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T925" s="2"/>
      <c r="U925" s="2"/>
      <c r="V925" s="2"/>
      <c r="W925" s="2"/>
      <c r="X925" s="2"/>
    </row>
    <row r="926" spans="1:24" ht="15.7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T926" s="2"/>
      <c r="U926" s="2"/>
      <c r="V926" s="2"/>
      <c r="W926" s="2"/>
      <c r="X926" s="2"/>
    </row>
    <row r="927" spans="1:24" ht="15.7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T927" s="2"/>
      <c r="U927" s="2"/>
      <c r="V927" s="2"/>
      <c r="W927" s="2"/>
      <c r="X927" s="2"/>
    </row>
    <row r="928" spans="1:24" ht="15.7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T928" s="2"/>
      <c r="U928" s="2"/>
      <c r="V928" s="2"/>
      <c r="W928" s="2"/>
      <c r="X928" s="2"/>
    </row>
    <row r="929" spans="1:24" ht="15.7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T929" s="2"/>
      <c r="U929" s="2"/>
      <c r="V929" s="2"/>
      <c r="W929" s="2"/>
      <c r="X929" s="2"/>
    </row>
    <row r="930" spans="1:24" ht="15.7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T930" s="2"/>
      <c r="U930" s="2"/>
      <c r="V930" s="2"/>
      <c r="W930" s="2"/>
      <c r="X930" s="2"/>
    </row>
    <row r="931" spans="1:24" ht="15.7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T931" s="2"/>
      <c r="U931" s="2"/>
      <c r="V931" s="2"/>
      <c r="W931" s="2"/>
      <c r="X931" s="2"/>
    </row>
    <row r="932" spans="1:24" ht="15.7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T932" s="2"/>
      <c r="U932" s="2"/>
      <c r="V932" s="2"/>
      <c r="W932" s="2"/>
      <c r="X932" s="2"/>
    </row>
    <row r="933" spans="1:24" ht="15.7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T933" s="2"/>
      <c r="U933" s="2"/>
      <c r="V933" s="2"/>
      <c r="W933" s="2"/>
      <c r="X933" s="2"/>
    </row>
    <row r="934" spans="1:24" ht="15.7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T934" s="2"/>
      <c r="U934" s="2"/>
      <c r="V934" s="2"/>
      <c r="W934" s="2"/>
      <c r="X934" s="2"/>
    </row>
    <row r="935" spans="1:24" ht="15.7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T935" s="2"/>
      <c r="U935" s="2"/>
      <c r="V935" s="2"/>
      <c r="W935" s="2"/>
      <c r="X935" s="2"/>
    </row>
    <row r="936" spans="1:24" ht="15.7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T936" s="2"/>
      <c r="U936" s="2"/>
      <c r="V936" s="2"/>
      <c r="W936" s="2"/>
      <c r="X936" s="2"/>
    </row>
    <row r="937" spans="1:24" ht="15.7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T937" s="2"/>
      <c r="U937" s="2"/>
      <c r="V937" s="2"/>
      <c r="W937" s="2"/>
      <c r="X937" s="2"/>
    </row>
    <row r="938" spans="1:24" ht="15.7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T938" s="2"/>
      <c r="U938" s="2"/>
      <c r="V938" s="2"/>
      <c r="W938" s="2"/>
      <c r="X938" s="2"/>
    </row>
    <row r="939" spans="1:24" ht="15.7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T939" s="2"/>
      <c r="U939" s="2"/>
      <c r="V939" s="2"/>
      <c r="W939" s="2"/>
      <c r="X939" s="2"/>
    </row>
    <row r="940" spans="1:24" ht="15.7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T940" s="2"/>
      <c r="U940" s="2"/>
      <c r="V940" s="2"/>
      <c r="W940" s="2"/>
      <c r="X940" s="2"/>
    </row>
    <row r="941" spans="1:24" ht="15.7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T941" s="2"/>
      <c r="U941" s="2"/>
      <c r="V941" s="2"/>
      <c r="W941" s="2"/>
      <c r="X941" s="2"/>
    </row>
    <row r="942" spans="1:24" ht="15.7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T942" s="2"/>
      <c r="U942" s="2"/>
      <c r="V942" s="2"/>
      <c r="W942" s="2"/>
      <c r="X942" s="2"/>
    </row>
    <row r="943" spans="1:24" ht="15.7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T943" s="2"/>
      <c r="U943" s="2"/>
      <c r="V943" s="2"/>
      <c r="W943" s="2"/>
      <c r="X943" s="2"/>
    </row>
    <row r="944" spans="1:24" ht="15.7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T944" s="2"/>
      <c r="U944" s="2"/>
      <c r="V944" s="2"/>
      <c r="W944" s="2"/>
      <c r="X944" s="2"/>
    </row>
    <row r="945" spans="1:24" ht="15.7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T945" s="2"/>
      <c r="U945" s="2"/>
      <c r="V945" s="2"/>
      <c r="W945" s="2"/>
      <c r="X945" s="2"/>
    </row>
    <row r="946" spans="1:24" ht="15.7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T946" s="2"/>
      <c r="U946" s="2"/>
      <c r="V946" s="2"/>
      <c r="W946" s="2"/>
      <c r="X946" s="2"/>
    </row>
    <row r="947" spans="1:24" ht="15.7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T947" s="2"/>
      <c r="U947" s="2"/>
      <c r="V947" s="2"/>
      <c r="W947" s="2"/>
      <c r="X947" s="2"/>
    </row>
    <row r="948" spans="1:24" ht="15.7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T948" s="2"/>
      <c r="U948" s="2"/>
      <c r="V948" s="2"/>
      <c r="W948" s="2"/>
      <c r="X948" s="2"/>
    </row>
    <row r="949" spans="1:24" ht="15.7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T949" s="2"/>
      <c r="U949" s="2"/>
      <c r="V949" s="2"/>
      <c r="W949" s="2"/>
      <c r="X949" s="2"/>
    </row>
    <row r="950" spans="1:24" ht="15.7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T950" s="2"/>
      <c r="U950" s="2"/>
      <c r="V950" s="2"/>
      <c r="W950" s="2"/>
      <c r="X950" s="2"/>
    </row>
    <row r="951" spans="1:24" ht="15.7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T951" s="2"/>
      <c r="U951" s="2"/>
      <c r="V951" s="2"/>
      <c r="W951" s="2"/>
      <c r="X951" s="2"/>
    </row>
    <row r="952" spans="1:24" ht="15.7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T952" s="2"/>
      <c r="U952" s="2"/>
      <c r="V952" s="2"/>
      <c r="W952" s="2"/>
      <c r="X952" s="2"/>
    </row>
    <row r="953" spans="1:24" ht="15.7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T953" s="2"/>
      <c r="U953" s="2"/>
      <c r="V953" s="2"/>
      <c r="W953" s="2"/>
      <c r="X953" s="2"/>
    </row>
    <row r="954" spans="1:24" ht="15.7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T954" s="2"/>
      <c r="U954" s="2"/>
      <c r="V954" s="2"/>
      <c r="W954" s="2"/>
      <c r="X954" s="2"/>
    </row>
    <row r="955" spans="1:24" ht="15.7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T955" s="2"/>
      <c r="U955" s="2"/>
      <c r="V955" s="2"/>
      <c r="W955" s="2"/>
      <c r="X955" s="2"/>
    </row>
    <row r="956" spans="1:24" ht="15.7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T956" s="2"/>
      <c r="U956" s="2"/>
      <c r="V956" s="2"/>
      <c r="W956" s="2"/>
      <c r="X956" s="2"/>
    </row>
    <row r="957" spans="1:24" ht="15.7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T957" s="2"/>
      <c r="U957" s="2"/>
      <c r="V957" s="2"/>
      <c r="W957" s="2"/>
      <c r="X957" s="2"/>
    </row>
    <row r="958" spans="1:24" ht="15.7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T958" s="2"/>
      <c r="U958" s="2"/>
      <c r="V958" s="2"/>
      <c r="W958" s="2"/>
      <c r="X958" s="2"/>
    </row>
    <row r="959" spans="1:24" ht="15.7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T959" s="2"/>
      <c r="U959" s="2"/>
      <c r="V959" s="2"/>
      <c r="W959" s="2"/>
      <c r="X959" s="2"/>
    </row>
    <row r="960" spans="1:24" ht="15.7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T960" s="2"/>
      <c r="U960" s="2"/>
      <c r="V960" s="2"/>
      <c r="W960" s="2"/>
      <c r="X960" s="2"/>
    </row>
    <row r="961" spans="1:24" ht="15.7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T961" s="2"/>
      <c r="U961" s="2"/>
      <c r="V961" s="2"/>
      <c r="W961" s="2"/>
      <c r="X961" s="2"/>
    </row>
    <row r="962" spans="1:24" ht="15.7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T962" s="2"/>
      <c r="U962" s="2"/>
      <c r="V962" s="2"/>
      <c r="W962" s="2"/>
      <c r="X962" s="2"/>
    </row>
    <row r="963" spans="1:24" ht="15.7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T963" s="2"/>
      <c r="U963" s="2"/>
      <c r="V963" s="2"/>
      <c r="W963" s="2"/>
      <c r="X963" s="2"/>
    </row>
    <row r="964" spans="1:24" ht="15.7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T964" s="2"/>
      <c r="U964" s="2"/>
      <c r="V964" s="2"/>
      <c r="W964" s="2"/>
      <c r="X964" s="2"/>
    </row>
    <row r="965" spans="1:24" ht="15.7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T965" s="2"/>
      <c r="U965" s="2"/>
      <c r="V965" s="2"/>
      <c r="W965" s="2"/>
      <c r="X965" s="2"/>
    </row>
    <row r="966" spans="1:24" ht="15.7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T966" s="2"/>
      <c r="U966" s="2"/>
      <c r="V966" s="2"/>
      <c r="W966" s="2"/>
      <c r="X966" s="2"/>
    </row>
    <row r="967" spans="1:24" ht="15.7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T967" s="2"/>
      <c r="U967" s="2"/>
      <c r="V967" s="2"/>
      <c r="W967" s="2"/>
      <c r="X967" s="2"/>
    </row>
    <row r="968" spans="1:24" ht="15.7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T968" s="2"/>
      <c r="U968" s="2"/>
      <c r="V968" s="2"/>
      <c r="W968" s="2"/>
      <c r="X968" s="2"/>
    </row>
    <row r="969" spans="1:24" ht="15.7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T969" s="2"/>
      <c r="U969" s="2"/>
      <c r="V969" s="2"/>
      <c r="W969" s="2"/>
      <c r="X969" s="2"/>
    </row>
    <row r="970" spans="1:24" ht="15.7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T970" s="2"/>
      <c r="U970" s="2"/>
      <c r="V970" s="2"/>
      <c r="W970" s="2"/>
      <c r="X970" s="2"/>
    </row>
    <row r="971" spans="1:24" ht="15.7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T971" s="2"/>
      <c r="U971" s="2"/>
      <c r="V971" s="2"/>
      <c r="W971" s="2"/>
      <c r="X971" s="2"/>
    </row>
    <row r="972" spans="1:24" ht="15.7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T972" s="2"/>
      <c r="U972" s="2"/>
      <c r="V972" s="2"/>
      <c r="W972" s="2"/>
      <c r="X972" s="2"/>
    </row>
    <row r="973" spans="1:24" ht="15.7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T973" s="2"/>
      <c r="U973" s="2"/>
      <c r="V973" s="2"/>
      <c r="W973" s="2"/>
      <c r="X973" s="2"/>
    </row>
    <row r="974" spans="1:24" ht="15.7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T974" s="2"/>
      <c r="U974" s="2"/>
      <c r="V974" s="2"/>
      <c r="W974" s="2"/>
      <c r="X974" s="2"/>
    </row>
    <row r="975" spans="1:24" ht="15.7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T975" s="2"/>
      <c r="U975" s="2"/>
      <c r="V975" s="2"/>
      <c r="W975" s="2"/>
      <c r="X975" s="2"/>
    </row>
    <row r="976" spans="1:24" ht="15.7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T976" s="2"/>
      <c r="U976" s="2"/>
      <c r="V976" s="2"/>
      <c r="W976" s="2"/>
      <c r="X976" s="2"/>
    </row>
    <row r="977" spans="1:24" ht="15.7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T977" s="2"/>
      <c r="U977" s="2"/>
      <c r="V977" s="2"/>
      <c r="W977" s="2"/>
      <c r="X977" s="2"/>
    </row>
    <row r="978" spans="1:24" ht="15.7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T978" s="2"/>
      <c r="U978" s="2"/>
      <c r="V978" s="2"/>
      <c r="W978" s="2"/>
      <c r="X978" s="2"/>
    </row>
    <row r="979" spans="1:24" ht="15.7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T979" s="2"/>
      <c r="U979" s="2"/>
      <c r="V979" s="2"/>
      <c r="W979" s="2"/>
      <c r="X979" s="2"/>
    </row>
    <row r="980" spans="1:24" ht="15.7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T980" s="2"/>
      <c r="U980" s="2"/>
      <c r="V980" s="2"/>
      <c r="W980" s="2"/>
      <c r="X980" s="2"/>
    </row>
    <row r="981" spans="1:24" ht="15.7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T981" s="2"/>
      <c r="U981" s="2"/>
      <c r="V981" s="2"/>
      <c r="W981" s="2"/>
      <c r="X981" s="2"/>
    </row>
    <row r="982" spans="1:24" ht="15.7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T982" s="2"/>
      <c r="U982" s="2"/>
      <c r="V982" s="2"/>
      <c r="W982" s="2"/>
      <c r="X982" s="2"/>
    </row>
    <row r="983" spans="1:24" ht="15.7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T983" s="2"/>
      <c r="U983" s="2"/>
      <c r="V983" s="2"/>
      <c r="W983" s="2"/>
      <c r="X983" s="2"/>
    </row>
    <row r="984" spans="1:24" ht="15.7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T984" s="2"/>
      <c r="U984" s="2"/>
      <c r="V984" s="2"/>
      <c r="W984" s="2"/>
      <c r="X984" s="2"/>
    </row>
    <row r="985" spans="1:24" ht="15.7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T985" s="2"/>
      <c r="U985" s="2"/>
      <c r="V985" s="2"/>
      <c r="W985" s="2"/>
      <c r="X985" s="2"/>
    </row>
    <row r="986" spans="1:24" ht="15.7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T986" s="2"/>
      <c r="U986" s="2"/>
      <c r="V986" s="2"/>
      <c r="W986" s="2"/>
      <c r="X986" s="2"/>
    </row>
    <row r="987" spans="1:24" ht="15.7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T987" s="2"/>
      <c r="U987" s="2"/>
      <c r="V987" s="2"/>
      <c r="W987" s="2"/>
      <c r="X987" s="2"/>
    </row>
    <row r="988" spans="1:24" ht="15.7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T988" s="2"/>
      <c r="U988" s="2"/>
      <c r="V988" s="2"/>
      <c r="W988" s="2"/>
      <c r="X988" s="2"/>
    </row>
    <row r="989" spans="1:24" ht="15.7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T989" s="2"/>
      <c r="U989" s="2"/>
      <c r="V989" s="2"/>
      <c r="W989" s="2"/>
      <c r="X989" s="2"/>
    </row>
    <row r="990" spans="1:24" ht="15.7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T990" s="2"/>
      <c r="U990" s="2"/>
      <c r="V990" s="2"/>
      <c r="W990" s="2"/>
      <c r="X990" s="2"/>
    </row>
    <row r="991" spans="1:24" ht="15.7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T991" s="2"/>
      <c r="U991" s="2"/>
      <c r="V991" s="2"/>
      <c r="W991" s="2"/>
      <c r="X991" s="2"/>
    </row>
    <row r="992" spans="1:24" ht="15.7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T992" s="2"/>
      <c r="U992" s="2"/>
      <c r="V992" s="2"/>
      <c r="W992" s="2"/>
      <c r="X992" s="2"/>
    </row>
    <row r="993" spans="1:24" ht="15.7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T993" s="2"/>
      <c r="U993" s="2"/>
      <c r="V993" s="2"/>
      <c r="W993" s="2"/>
      <c r="X993" s="2"/>
    </row>
    <row r="994" spans="1:24" ht="15.7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T994" s="2"/>
      <c r="U994" s="2"/>
      <c r="V994" s="2"/>
      <c r="W994" s="2"/>
      <c r="X994" s="2"/>
    </row>
    <row r="995" spans="1:24" ht="15.7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T995" s="2"/>
      <c r="U995" s="2"/>
      <c r="V995" s="2"/>
      <c r="W995" s="2"/>
      <c r="X995" s="2"/>
    </row>
    <row r="996" spans="1:24" ht="15.7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T996" s="2"/>
      <c r="U996" s="2"/>
      <c r="V996" s="2"/>
      <c r="W996" s="2"/>
      <c r="X996" s="2"/>
    </row>
    <row r="997" spans="1:24" ht="15.7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T997" s="2"/>
      <c r="U997" s="2"/>
      <c r="V997" s="2"/>
      <c r="W997" s="2"/>
      <c r="X997" s="2"/>
    </row>
    <row r="998" spans="1:24" ht="15.7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T998" s="2"/>
      <c r="U998" s="2"/>
      <c r="V998" s="2"/>
      <c r="W998" s="2"/>
      <c r="X998" s="2"/>
    </row>
    <row r="999" spans="1:24" ht="15.7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T999" s="2"/>
      <c r="U999" s="2"/>
      <c r="V999" s="2"/>
      <c r="W999" s="2"/>
      <c r="X999" s="2"/>
    </row>
    <row r="1000" spans="1:24" ht="15.7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T1000" s="2"/>
      <c r="U1000" s="2"/>
      <c r="V1000" s="2"/>
      <c r="W1000" s="2"/>
      <c r="X1000" s="2"/>
    </row>
  </sheetData>
  <mergeCells count="1">
    <mergeCell ref="AC2:AE3"/>
  </mergeCells>
  <pageMargins left="0.75" right="0.75" top="1" bottom="1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00"/>
  <sheetViews>
    <sheetView tabSelected="1" zoomScale="102" workbookViewId="0">
      <pane ySplit="1" topLeftCell="A2" activePane="bottomLeft" state="frozen"/>
      <selection pane="bottomLeft" activeCell="J8" sqref="J8"/>
    </sheetView>
  </sheetViews>
  <sheetFormatPr defaultColWidth="14.3984375" defaultRowHeight="15" customHeight="1" x14ac:dyDescent="0.3"/>
  <cols>
    <col min="1" max="1" width="12" customWidth="1"/>
    <col min="2" max="2" width="6" customWidth="1"/>
    <col min="3" max="3" width="28" customWidth="1"/>
    <col min="4" max="4" width="15" customWidth="1"/>
    <col min="5" max="6" width="14" customWidth="1"/>
    <col min="7" max="7" width="13" customWidth="1"/>
    <col min="8" max="8" width="14" customWidth="1"/>
    <col min="9" max="9" width="11" customWidth="1"/>
    <col min="10" max="26" width="8.69921875" customWidth="1"/>
  </cols>
  <sheetData>
    <row r="1" spans="1:9" ht="29.95" customHeight="1" thickBot="1" x14ac:dyDescent="0.35">
      <c r="A1" s="6" t="s">
        <v>28</v>
      </c>
      <c r="B1" s="6" t="s">
        <v>37</v>
      </c>
      <c r="C1" s="6" t="s">
        <v>2</v>
      </c>
      <c r="D1" s="6" t="s">
        <v>0</v>
      </c>
      <c r="E1" s="6" t="s">
        <v>41</v>
      </c>
      <c r="F1" s="6" t="s">
        <v>45</v>
      </c>
      <c r="G1" s="6" t="s">
        <v>47</v>
      </c>
      <c r="H1" s="6" t="s">
        <v>49</v>
      </c>
      <c r="I1" s="73" t="s">
        <v>1430</v>
      </c>
    </row>
    <row r="2" spans="1:9" ht="15" customHeight="1" x14ac:dyDescent="0.3">
      <c r="A2" s="80" t="s">
        <v>54</v>
      </c>
      <c r="B2" s="9">
        <v>1</v>
      </c>
      <c r="C2" s="11" t="s">
        <v>65</v>
      </c>
      <c r="D2" s="11">
        <v>20251700271</v>
      </c>
      <c r="E2" s="12">
        <v>0</v>
      </c>
      <c r="F2" s="74"/>
      <c r="G2" s="74"/>
      <c r="H2" s="15" t="str">
        <f>IF(OR(E2="",F2="",G2=""),"",E2+F2+G2)</f>
        <v/>
      </c>
      <c r="I2" s="96" t="b">
        <v>0</v>
      </c>
    </row>
    <row r="3" spans="1:9" ht="15" customHeight="1" x14ac:dyDescent="0.3">
      <c r="A3" s="78"/>
      <c r="B3" s="17">
        <v>2</v>
      </c>
      <c r="C3" s="18" t="s">
        <v>90</v>
      </c>
      <c r="D3" s="18" t="s">
        <v>92</v>
      </c>
      <c r="E3" s="19"/>
      <c r="F3" s="75"/>
      <c r="G3" s="75"/>
      <c r="H3" s="20" t="str">
        <f>IF(OR(E3="",F2="",G2=""),"",E3+F2+G2)</f>
        <v/>
      </c>
      <c r="I3" s="96" t="b">
        <v>0</v>
      </c>
    </row>
    <row r="4" spans="1:9" ht="15" customHeight="1" x14ac:dyDescent="0.3">
      <c r="A4" s="78"/>
      <c r="B4" s="17">
        <v>3</v>
      </c>
      <c r="C4" s="18" t="s">
        <v>97</v>
      </c>
      <c r="D4" s="18" t="s">
        <v>98</v>
      </c>
      <c r="E4" s="19"/>
      <c r="F4" s="75"/>
      <c r="G4" s="75"/>
      <c r="H4" s="20" t="str">
        <f>IF(OR(E4="",F2="",G2=""),"",E4+F2+G2)</f>
        <v/>
      </c>
      <c r="I4" s="96" t="b">
        <v>0</v>
      </c>
    </row>
    <row r="5" spans="1:9" ht="15" customHeight="1" x14ac:dyDescent="0.3">
      <c r="A5" s="78"/>
      <c r="B5" s="17">
        <v>4</v>
      </c>
      <c r="C5" s="18" t="s">
        <v>107</v>
      </c>
      <c r="D5" s="18" t="s">
        <v>110</v>
      </c>
      <c r="E5" s="19"/>
      <c r="F5" s="75"/>
      <c r="G5" s="75"/>
      <c r="H5" s="20" t="str">
        <f>IF(OR(E5="",F2="",G2=""),"",E5+F2+G2)</f>
        <v/>
      </c>
      <c r="I5" s="96" t="b">
        <v>0</v>
      </c>
    </row>
    <row r="6" spans="1:9" ht="15" customHeight="1" thickBot="1" x14ac:dyDescent="0.35">
      <c r="A6" s="79"/>
      <c r="B6" s="24">
        <v>5</v>
      </c>
      <c r="C6" s="25" t="s">
        <v>114</v>
      </c>
      <c r="D6" s="25" t="s">
        <v>117</v>
      </c>
      <c r="E6" s="26"/>
      <c r="F6" s="76"/>
      <c r="G6" s="76"/>
      <c r="H6" s="28" t="str">
        <f>IF(OR(E6="",F2="",G2=""),"",E6+F2+G2)</f>
        <v/>
      </c>
      <c r="I6" s="96" t="b">
        <v>0</v>
      </c>
    </row>
    <row r="7" spans="1:9" ht="15" customHeight="1" x14ac:dyDescent="0.3">
      <c r="A7" s="77" t="s">
        <v>123</v>
      </c>
      <c r="B7" s="29">
        <v>1</v>
      </c>
      <c r="C7" s="30" t="s">
        <v>124</v>
      </c>
      <c r="D7" s="30" t="s">
        <v>126</v>
      </c>
      <c r="E7" s="12"/>
      <c r="F7" s="74"/>
      <c r="G7" s="74"/>
      <c r="H7" s="31" t="str">
        <f>IF(OR(E7="",F7="",G7=""),"",E7+F7+G7)</f>
        <v/>
      </c>
      <c r="I7" s="96" t="b">
        <v>0</v>
      </c>
    </row>
    <row r="8" spans="1:9" ht="15" customHeight="1" x14ac:dyDescent="0.3">
      <c r="A8" s="78"/>
      <c r="B8" s="32">
        <v>2</v>
      </c>
      <c r="C8" s="33" t="s">
        <v>133</v>
      </c>
      <c r="D8" s="33" t="s">
        <v>134</v>
      </c>
      <c r="E8" s="19"/>
      <c r="F8" s="75"/>
      <c r="G8" s="75"/>
      <c r="H8" s="35" t="str">
        <f>IF(OR(E8="",F7="",G7=""),"",E8+F7+G7)</f>
        <v/>
      </c>
      <c r="I8" s="96" t="b">
        <v>0</v>
      </c>
    </row>
    <row r="9" spans="1:9" ht="15" customHeight="1" x14ac:dyDescent="0.3">
      <c r="A9" s="78"/>
      <c r="B9" s="32">
        <v>3</v>
      </c>
      <c r="C9" s="33" t="s">
        <v>142</v>
      </c>
      <c r="D9" s="33" t="s">
        <v>143</v>
      </c>
      <c r="E9" s="19"/>
      <c r="F9" s="75"/>
      <c r="G9" s="75"/>
      <c r="H9" s="35" t="str">
        <f>IF(OR(E9="",F7="",G7=""),"",E9+F7+G7)</f>
        <v/>
      </c>
      <c r="I9" s="96" t="b">
        <v>0</v>
      </c>
    </row>
    <row r="10" spans="1:9" ht="15" customHeight="1" x14ac:dyDescent="0.3">
      <c r="A10" s="78"/>
      <c r="B10" s="32">
        <v>4</v>
      </c>
      <c r="C10" s="33" t="s">
        <v>144</v>
      </c>
      <c r="D10" s="33" t="s">
        <v>145</v>
      </c>
      <c r="E10" s="19"/>
      <c r="F10" s="75"/>
      <c r="G10" s="75"/>
      <c r="H10" s="35" t="str">
        <f>IF(OR(E10="",F7="",G7=""),"",E10+F7+G7)</f>
        <v/>
      </c>
      <c r="I10" s="96" t="b">
        <v>0</v>
      </c>
    </row>
    <row r="11" spans="1:9" ht="15" customHeight="1" thickBot="1" x14ac:dyDescent="0.35">
      <c r="A11" s="79"/>
      <c r="B11" s="40">
        <v>5</v>
      </c>
      <c r="C11" s="41" t="s">
        <v>153</v>
      </c>
      <c r="D11" s="41" t="s">
        <v>154</v>
      </c>
      <c r="E11" s="26"/>
      <c r="F11" s="76"/>
      <c r="G11" s="76"/>
      <c r="H11" s="43" t="str">
        <f>IF(OR(E11="",F7="",G7=""),"",E11+F7+G7)</f>
        <v/>
      </c>
      <c r="I11" s="96" t="b">
        <v>0</v>
      </c>
    </row>
    <row r="12" spans="1:9" ht="15" customHeight="1" x14ac:dyDescent="0.3">
      <c r="A12" s="80" t="s">
        <v>161</v>
      </c>
      <c r="B12" s="9">
        <v>1</v>
      </c>
      <c r="C12" s="11" t="s">
        <v>163</v>
      </c>
      <c r="D12" s="11" t="s">
        <v>115</v>
      </c>
      <c r="E12" s="12"/>
      <c r="F12" s="74"/>
      <c r="G12" s="74"/>
      <c r="H12" s="15" t="str">
        <f>IF(OR(E12="",F12="",G12=""),"",E12+F12+G12)</f>
        <v/>
      </c>
      <c r="I12" s="96" t="b">
        <v>0</v>
      </c>
    </row>
    <row r="13" spans="1:9" ht="15" customHeight="1" x14ac:dyDescent="0.3">
      <c r="A13" s="78"/>
      <c r="B13" s="17">
        <v>2</v>
      </c>
      <c r="C13" s="18" t="s">
        <v>168</v>
      </c>
      <c r="D13" s="18" t="s">
        <v>170</v>
      </c>
      <c r="E13" s="19"/>
      <c r="F13" s="75"/>
      <c r="G13" s="75"/>
      <c r="H13" s="20" t="str">
        <f>IF(OR(E13="",F12="",G12=""),"",E13+F12+G12)</f>
        <v/>
      </c>
      <c r="I13" s="96" t="b">
        <v>0</v>
      </c>
    </row>
    <row r="14" spans="1:9" ht="15" customHeight="1" x14ac:dyDescent="0.3">
      <c r="A14" s="78"/>
      <c r="B14" s="17">
        <v>3</v>
      </c>
      <c r="C14" s="18" t="s">
        <v>172</v>
      </c>
      <c r="D14" s="18" t="s">
        <v>173</v>
      </c>
      <c r="E14" s="19"/>
      <c r="F14" s="75"/>
      <c r="G14" s="75"/>
      <c r="H14" s="20" t="str">
        <f>IF(OR(E14="",F12="",G12=""),"",E14+F12+G12)</f>
        <v/>
      </c>
      <c r="I14" s="96" t="b">
        <v>0</v>
      </c>
    </row>
    <row r="15" spans="1:9" ht="15" customHeight="1" x14ac:dyDescent="0.3">
      <c r="A15" s="78"/>
      <c r="B15" s="17">
        <v>4</v>
      </c>
      <c r="C15" s="18" t="s">
        <v>176</v>
      </c>
      <c r="D15" s="18" t="s">
        <v>178</v>
      </c>
      <c r="E15" s="19"/>
      <c r="F15" s="75"/>
      <c r="G15" s="75"/>
      <c r="H15" s="20" t="str">
        <f>IF(OR(E15="",F12="",G12=""),"",E15+F12+G12)</f>
        <v/>
      </c>
      <c r="I15" s="96" t="b">
        <v>0</v>
      </c>
    </row>
    <row r="16" spans="1:9" ht="15" customHeight="1" thickBot="1" x14ac:dyDescent="0.35">
      <c r="A16" s="79"/>
      <c r="B16" s="24">
        <v>5</v>
      </c>
      <c r="C16" s="25" t="s">
        <v>184</v>
      </c>
      <c r="D16" s="25" t="s">
        <v>185</v>
      </c>
      <c r="E16" s="26"/>
      <c r="F16" s="76"/>
      <c r="G16" s="76"/>
      <c r="H16" s="28" t="str">
        <f>IF(OR(E16="",F12="",G12=""),"",E16+F12+G12)</f>
        <v/>
      </c>
      <c r="I16" s="96" t="b">
        <v>0</v>
      </c>
    </row>
    <row r="17" spans="1:9" ht="15" customHeight="1" x14ac:dyDescent="0.3">
      <c r="A17" s="77" t="s">
        <v>190</v>
      </c>
      <c r="B17" s="29">
        <v>1</v>
      </c>
      <c r="C17" s="30" t="s">
        <v>193</v>
      </c>
      <c r="D17" s="30" t="s">
        <v>194</v>
      </c>
      <c r="E17" s="12"/>
      <c r="F17" s="74"/>
      <c r="G17" s="74"/>
      <c r="H17" s="31" t="str">
        <f>IF(OR(E17="",F17="",G17=""),"",E17+F17+G17)</f>
        <v/>
      </c>
      <c r="I17" s="96" t="b">
        <v>0</v>
      </c>
    </row>
    <row r="18" spans="1:9" ht="15" customHeight="1" x14ac:dyDescent="0.3">
      <c r="A18" s="78"/>
      <c r="B18" s="32">
        <v>2</v>
      </c>
      <c r="C18" s="33" t="s">
        <v>200</v>
      </c>
      <c r="D18" s="33" t="s">
        <v>201</v>
      </c>
      <c r="E18" s="19"/>
      <c r="F18" s="75"/>
      <c r="G18" s="75"/>
      <c r="H18" s="35" t="str">
        <f>IF(OR(E18="",F17="",G17=""),"",E18+F17+G17)</f>
        <v/>
      </c>
      <c r="I18" s="96" t="b">
        <v>0</v>
      </c>
    </row>
    <row r="19" spans="1:9" ht="15" customHeight="1" x14ac:dyDescent="0.3">
      <c r="A19" s="78"/>
      <c r="B19" s="32">
        <v>3</v>
      </c>
      <c r="C19" s="33" t="s">
        <v>209</v>
      </c>
      <c r="D19" s="33" t="s">
        <v>210</v>
      </c>
      <c r="E19" s="19"/>
      <c r="F19" s="75"/>
      <c r="G19" s="75"/>
      <c r="H19" s="35" t="str">
        <f>IF(OR(E19="",F17="",G17=""),"",E19+F17+G17)</f>
        <v/>
      </c>
      <c r="I19" s="96" t="b">
        <v>0</v>
      </c>
    </row>
    <row r="20" spans="1:9" ht="15" customHeight="1" x14ac:dyDescent="0.3">
      <c r="A20" s="78"/>
      <c r="B20" s="32">
        <v>4</v>
      </c>
      <c r="C20" s="33" t="s">
        <v>220</v>
      </c>
      <c r="D20" s="33" t="s">
        <v>221</v>
      </c>
      <c r="E20" s="19"/>
      <c r="F20" s="75"/>
      <c r="G20" s="75"/>
      <c r="H20" s="35" t="str">
        <f>IF(OR(E20="",F17="",G17=""),"",E20+F17+G17)</f>
        <v/>
      </c>
      <c r="I20" s="96" t="b">
        <v>0</v>
      </c>
    </row>
    <row r="21" spans="1:9" ht="15" customHeight="1" thickBot="1" x14ac:dyDescent="0.35">
      <c r="A21" s="79"/>
      <c r="B21" s="40">
        <v>5</v>
      </c>
      <c r="C21" s="41" t="s">
        <v>222</v>
      </c>
      <c r="D21" s="41" t="s">
        <v>223</v>
      </c>
      <c r="E21" s="26"/>
      <c r="F21" s="76"/>
      <c r="G21" s="76"/>
      <c r="H21" s="43" t="str">
        <f>IF(OR(E21="",F17="",G17=""),"",E21+F17+G17)</f>
        <v/>
      </c>
      <c r="I21" s="96" t="b">
        <v>0</v>
      </c>
    </row>
    <row r="22" spans="1:9" ht="15" customHeight="1" x14ac:dyDescent="0.3">
      <c r="A22" s="80" t="s">
        <v>226</v>
      </c>
      <c r="B22" s="9">
        <v>1</v>
      </c>
      <c r="C22" s="11" t="s">
        <v>228</v>
      </c>
      <c r="D22" s="11" t="s">
        <v>230</v>
      </c>
      <c r="E22" s="12"/>
      <c r="F22" s="74"/>
      <c r="G22" s="74"/>
      <c r="H22" s="15" t="str">
        <f>IF(OR(E22="",F22="",G22=""),"",E22+F22+G22)</f>
        <v/>
      </c>
      <c r="I22" s="96" t="b">
        <v>0</v>
      </c>
    </row>
    <row r="23" spans="1:9" ht="15" customHeight="1" x14ac:dyDescent="0.3">
      <c r="A23" s="78"/>
      <c r="B23" s="17">
        <v>2</v>
      </c>
      <c r="C23" s="18" t="s">
        <v>236</v>
      </c>
      <c r="D23" s="18" t="s">
        <v>211</v>
      </c>
      <c r="E23" s="19"/>
      <c r="F23" s="75"/>
      <c r="G23" s="75"/>
      <c r="H23" s="20" t="str">
        <f>IF(OR(E23="",F22="",G22=""),"",E23+F22+G22)</f>
        <v/>
      </c>
      <c r="I23" s="96" t="b">
        <v>0</v>
      </c>
    </row>
    <row r="24" spans="1:9" ht="15" customHeight="1" x14ac:dyDescent="0.3">
      <c r="A24" s="78"/>
      <c r="B24" s="17">
        <v>3</v>
      </c>
      <c r="C24" s="18" t="s">
        <v>237</v>
      </c>
      <c r="D24" s="18" t="s">
        <v>238</v>
      </c>
      <c r="E24" s="19"/>
      <c r="F24" s="75"/>
      <c r="G24" s="75"/>
      <c r="H24" s="20" t="str">
        <f>IF(OR(E24="",F22="",G22=""),"",E24+F22+G22)</f>
        <v/>
      </c>
      <c r="I24" s="96" t="b">
        <v>0</v>
      </c>
    </row>
    <row r="25" spans="1:9" ht="15" customHeight="1" x14ac:dyDescent="0.3">
      <c r="A25" s="78"/>
      <c r="B25" s="17">
        <v>4</v>
      </c>
      <c r="C25" s="18" t="s">
        <v>239</v>
      </c>
      <c r="D25" s="18" t="s">
        <v>240</v>
      </c>
      <c r="E25" s="19"/>
      <c r="F25" s="75"/>
      <c r="G25" s="75"/>
      <c r="H25" s="20" t="str">
        <f>IF(OR(E25="",F22="",G22=""),"",E25+F22+G22)</f>
        <v/>
      </c>
      <c r="I25" s="96" t="b">
        <v>0</v>
      </c>
    </row>
    <row r="26" spans="1:9" ht="15" customHeight="1" thickBot="1" x14ac:dyDescent="0.35">
      <c r="A26" s="79"/>
      <c r="B26" s="24">
        <v>5</v>
      </c>
      <c r="C26" s="25" t="s">
        <v>241</v>
      </c>
      <c r="D26" s="25" t="s">
        <v>242</v>
      </c>
      <c r="E26" s="26"/>
      <c r="F26" s="76"/>
      <c r="G26" s="76"/>
      <c r="H26" s="28" t="str">
        <f>IF(OR(E26="",F22="",G22=""),"",E26+F22+G22)</f>
        <v/>
      </c>
      <c r="I26" s="96" t="b">
        <v>0</v>
      </c>
    </row>
    <row r="27" spans="1:9" ht="15" customHeight="1" x14ac:dyDescent="0.3">
      <c r="A27" s="77" t="s">
        <v>243</v>
      </c>
      <c r="B27" s="29">
        <v>1</v>
      </c>
      <c r="C27" s="30" t="s">
        <v>244</v>
      </c>
      <c r="D27" s="30" t="s">
        <v>245</v>
      </c>
      <c r="E27" s="12"/>
      <c r="F27" s="74"/>
      <c r="G27" s="74"/>
      <c r="H27" s="31" t="str">
        <f>IF(OR(E27="",F27="",G27=""),"",E27+F27+G27)</f>
        <v/>
      </c>
      <c r="I27" s="96" t="b">
        <v>0</v>
      </c>
    </row>
    <row r="28" spans="1:9" ht="15" customHeight="1" x14ac:dyDescent="0.3">
      <c r="A28" s="78"/>
      <c r="B28" s="32">
        <v>2</v>
      </c>
      <c r="C28" s="33" t="s">
        <v>249</v>
      </c>
      <c r="D28" s="33" t="s">
        <v>250</v>
      </c>
      <c r="E28" s="19"/>
      <c r="F28" s="75"/>
      <c r="G28" s="75"/>
      <c r="H28" s="35" t="str">
        <f>IF(OR(E28="",F27="",G27=""),"",E28+F27+G27)</f>
        <v/>
      </c>
      <c r="I28" s="96" t="b">
        <v>0</v>
      </c>
    </row>
    <row r="29" spans="1:9" ht="15" customHeight="1" x14ac:dyDescent="0.3">
      <c r="A29" s="78"/>
      <c r="B29" s="32">
        <v>3</v>
      </c>
      <c r="C29" s="33" t="s">
        <v>251</v>
      </c>
      <c r="D29" s="33" t="s">
        <v>252</v>
      </c>
      <c r="E29" s="19"/>
      <c r="F29" s="75"/>
      <c r="G29" s="75"/>
      <c r="H29" s="35" t="str">
        <f>IF(OR(E29="",F27="",G27=""),"",E29+F27+G27)</f>
        <v/>
      </c>
      <c r="I29" s="96" t="b">
        <v>0</v>
      </c>
    </row>
    <row r="30" spans="1:9" ht="15" customHeight="1" x14ac:dyDescent="0.3">
      <c r="A30" s="78"/>
      <c r="B30" s="32">
        <v>4</v>
      </c>
      <c r="C30" s="33" t="s">
        <v>253</v>
      </c>
      <c r="D30" s="33" t="s">
        <v>254</v>
      </c>
      <c r="E30" s="19"/>
      <c r="F30" s="75"/>
      <c r="G30" s="75"/>
      <c r="H30" s="35" t="str">
        <f>IF(OR(E30="",F27="",G27=""),"",E30+F27+G27)</f>
        <v/>
      </c>
      <c r="I30" s="96" t="b">
        <v>0</v>
      </c>
    </row>
    <row r="31" spans="1:9" ht="15" customHeight="1" thickBot="1" x14ac:dyDescent="0.35">
      <c r="A31" s="79"/>
      <c r="B31" s="40">
        <v>5</v>
      </c>
      <c r="C31" s="41" t="s">
        <v>255</v>
      </c>
      <c r="D31" s="41" t="s">
        <v>256</v>
      </c>
      <c r="E31" s="26"/>
      <c r="F31" s="76"/>
      <c r="G31" s="76"/>
      <c r="H31" s="43" t="str">
        <f>IF(OR(E31="",F27="",G27=""),"",E31+F27+G27)</f>
        <v/>
      </c>
      <c r="I31" s="96" t="b">
        <v>0</v>
      </c>
    </row>
    <row r="32" spans="1:9" ht="15" customHeight="1" x14ac:dyDescent="0.3">
      <c r="A32" s="80" t="s">
        <v>257</v>
      </c>
      <c r="B32" s="9">
        <v>1</v>
      </c>
      <c r="C32" s="11" t="s">
        <v>36</v>
      </c>
      <c r="D32" s="11" t="s">
        <v>35</v>
      </c>
      <c r="E32" s="12"/>
      <c r="F32" s="74"/>
      <c r="G32" s="74"/>
      <c r="H32" s="15" t="str">
        <f>IF(OR(E32="",F32="",G32=""),"",E32+F32+G32)</f>
        <v/>
      </c>
      <c r="I32" s="96" t="b">
        <v>0</v>
      </c>
    </row>
    <row r="33" spans="1:9" ht="15" customHeight="1" x14ac:dyDescent="0.3">
      <c r="A33" s="78"/>
      <c r="B33" s="17">
        <v>2</v>
      </c>
      <c r="C33" s="18" t="s">
        <v>258</v>
      </c>
      <c r="D33" s="18" t="s">
        <v>259</v>
      </c>
      <c r="E33" s="19"/>
      <c r="F33" s="75"/>
      <c r="G33" s="75"/>
      <c r="H33" s="20" t="str">
        <f>IF(OR(E33="",F32="",G32=""),"",E33+F32+G32)</f>
        <v/>
      </c>
      <c r="I33" s="96" t="b">
        <v>0</v>
      </c>
    </row>
    <row r="34" spans="1:9" ht="15" customHeight="1" x14ac:dyDescent="0.3">
      <c r="A34" s="78"/>
      <c r="B34" s="17">
        <v>3</v>
      </c>
      <c r="C34" s="18" t="s">
        <v>260</v>
      </c>
      <c r="D34" s="18" t="s">
        <v>261</v>
      </c>
      <c r="E34" s="19"/>
      <c r="F34" s="75"/>
      <c r="G34" s="75"/>
      <c r="H34" s="20" t="str">
        <f>IF(OR(E34="",F32="",G32=""),"",E34+F32+G32)</f>
        <v/>
      </c>
      <c r="I34" s="96" t="b">
        <v>0</v>
      </c>
    </row>
    <row r="35" spans="1:9" ht="15" customHeight="1" x14ac:dyDescent="0.3">
      <c r="A35" s="78"/>
      <c r="B35" s="17">
        <v>4</v>
      </c>
      <c r="C35" s="18" t="s">
        <v>264</v>
      </c>
      <c r="D35" s="18" t="s">
        <v>265</v>
      </c>
      <c r="E35" s="19"/>
      <c r="F35" s="75"/>
      <c r="G35" s="75"/>
      <c r="H35" s="20" t="str">
        <f>IF(OR(E35="",F32="",G32=""),"",E35+F32+G32)</f>
        <v/>
      </c>
      <c r="I35" s="96" t="b">
        <v>0</v>
      </c>
    </row>
    <row r="36" spans="1:9" ht="15" customHeight="1" thickBot="1" x14ac:dyDescent="0.35">
      <c r="A36" s="79"/>
      <c r="B36" s="24">
        <v>5</v>
      </c>
      <c r="C36" s="25" t="s">
        <v>266</v>
      </c>
      <c r="D36" s="25" t="s">
        <v>267</v>
      </c>
      <c r="E36" s="26"/>
      <c r="F36" s="76"/>
      <c r="G36" s="76"/>
      <c r="H36" s="28" t="str">
        <f>IF(OR(E36="",F32="",G32=""),"",E36+F32+G32)</f>
        <v/>
      </c>
      <c r="I36" s="96" t="b">
        <v>0</v>
      </c>
    </row>
    <row r="37" spans="1:9" ht="15" customHeight="1" x14ac:dyDescent="0.3">
      <c r="A37" s="77" t="s">
        <v>268</v>
      </c>
      <c r="B37" s="29">
        <v>1</v>
      </c>
      <c r="C37" s="30" t="s">
        <v>269</v>
      </c>
      <c r="D37" s="30" t="s">
        <v>270</v>
      </c>
      <c r="E37" s="12"/>
      <c r="F37" s="74"/>
      <c r="G37" s="74"/>
      <c r="H37" s="31" t="str">
        <f>IF(OR(E37="",F37="",G37=""),"",E37+F37+G37)</f>
        <v/>
      </c>
      <c r="I37" s="96" t="b">
        <v>0</v>
      </c>
    </row>
    <row r="38" spans="1:9" ht="15" customHeight="1" x14ac:dyDescent="0.3">
      <c r="A38" s="78"/>
      <c r="B38" s="32">
        <v>2</v>
      </c>
      <c r="C38" s="33" t="s">
        <v>273</v>
      </c>
      <c r="D38" s="33" t="s">
        <v>274</v>
      </c>
      <c r="E38" s="19"/>
      <c r="F38" s="75"/>
      <c r="G38" s="75"/>
      <c r="H38" s="35" t="str">
        <f>IF(OR(E38="",F37="",G37=""),"",E38+F37+G37)</f>
        <v/>
      </c>
      <c r="I38" s="96" t="b">
        <v>0</v>
      </c>
    </row>
    <row r="39" spans="1:9" ht="15" customHeight="1" x14ac:dyDescent="0.3">
      <c r="A39" s="78"/>
      <c r="B39" s="32">
        <v>3</v>
      </c>
      <c r="C39" s="33" t="s">
        <v>275</v>
      </c>
      <c r="D39" s="33" t="s">
        <v>276</v>
      </c>
      <c r="E39" s="19"/>
      <c r="F39" s="75"/>
      <c r="G39" s="75"/>
      <c r="H39" s="35" t="str">
        <f>IF(OR(E39="",F37="",G37=""),"",E39+F37+G37)</f>
        <v/>
      </c>
      <c r="I39" s="96" t="b">
        <v>0</v>
      </c>
    </row>
    <row r="40" spans="1:9" ht="15" customHeight="1" x14ac:dyDescent="0.3">
      <c r="A40" s="78"/>
      <c r="B40" s="32">
        <v>4</v>
      </c>
      <c r="C40" s="33" t="s">
        <v>277</v>
      </c>
      <c r="D40" s="33" t="s">
        <v>278</v>
      </c>
      <c r="E40" s="19"/>
      <c r="F40" s="75"/>
      <c r="G40" s="75"/>
      <c r="H40" s="35" t="str">
        <f>IF(OR(E40="",F37="",G37=""),"",E40+F37+G37)</f>
        <v/>
      </c>
      <c r="I40" s="96" t="b">
        <v>0</v>
      </c>
    </row>
    <row r="41" spans="1:9" ht="15" customHeight="1" thickBot="1" x14ac:dyDescent="0.35">
      <c r="A41" s="79"/>
      <c r="B41" s="40">
        <v>5</v>
      </c>
      <c r="C41" s="41" t="s">
        <v>279</v>
      </c>
      <c r="D41" s="41" t="s">
        <v>280</v>
      </c>
      <c r="E41" s="26"/>
      <c r="F41" s="76"/>
      <c r="G41" s="76"/>
      <c r="H41" s="43" t="str">
        <f>IF(OR(E41="",F37="",G37=""),"",E41+F37+G37)</f>
        <v/>
      </c>
      <c r="I41" s="96" t="b">
        <v>0</v>
      </c>
    </row>
    <row r="42" spans="1:9" ht="15" customHeight="1" x14ac:dyDescent="0.3">
      <c r="A42" s="80" t="s">
        <v>281</v>
      </c>
      <c r="B42" s="9">
        <v>1</v>
      </c>
      <c r="C42" s="11" t="s">
        <v>282</v>
      </c>
      <c r="D42" s="11" t="s">
        <v>283</v>
      </c>
      <c r="E42" s="12"/>
      <c r="F42" s="74"/>
      <c r="G42" s="74"/>
      <c r="H42" s="15" t="str">
        <f>IF(OR(E42="",F42="",G42=""),"",E42+F42+G42)</f>
        <v/>
      </c>
      <c r="I42" s="96" t="b">
        <v>0</v>
      </c>
    </row>
    <row r="43" spans="1:9" ht="15" customHeight="1" x14ac:dyDescent="0.3">
      <c r="A43" s="78"/>
      <c r="B43" s="17">
        <v>2</v>
      </c>
      <c r="C43" s="18" t="s">
        <v>284</v>
      </c>
      <c r="D43" s="18" t="s">
        <v>285</v>
      </c>
      <c r="E43" s="19"/>
      <c r="F43" s="75"/>
      <c r="G43" s="75"/>
      <c r="H43" s="20" t="str">
        <f>IF(OR(E43="",F42="",G42=""),"",E43+F42+G42)</f>
        <v/>
      </c>
      <c r="I43" s="96" t="b">
        <v>0</v>
      </c>
    </row>
    <row r="44" spans="1:9" ht="15" customHeight="1" x14ac:dyDescent="0.3">
      <c r="A44" s="78"/>
      <c r="B44" s="17">
        <v>3</v>
      </c>
      <c r="C44" s="18" t="s">
        <v>286</v>
      </c>
      <c r="D44" s="18" t="s">
        <v>287</v>
      </c>
      <c r="E44" s="19"/>
      <c r="F44" s="75"/>
      <c r="G44" s="75"/>
      <c r="H44" s="20" t="str">
        <f>IF(OR(E44="",F42="",G42=""),"",E44+F42+G42)</f>
        <v/>
      </c>
      <c r="I44" s="96" t="b">
        <v>0</v>
      </c>
    </row>
    <row r="45" spans="1:9" ht="15" customHeight="1" x14ac:dyDescent="0.3">
      <c r="A45" s="78"/>
      <c r="B45" s="17">
        <v>4</v>
      </c>
      <c r="C45" s="18" t="s">
        <v>288</v>
      </c>
      <c r="D45" s="18" t="s">
        <v>289</v>
      </c>
      <c r="E45" s="19"/>
      <c r="F45" s="75"/>
      <c r="G45" s="75"/>
      <c r="H45" s="20" t="str">
        <f>IF(OR(E45="",F42="",G42=""),"",E45+F42+G42)</f>
        <v/>
      </c>
      <c r="I45" s="96" t="b">
        <v>0</v>
      </c>
    </row>
    <row r="46" spans="1:9" ht="15" customHeight="1" thickBot="1" x14ac:dyDescent="0.35">
      <c r="A46" s="79"/>
      <c r="B46" s="24">
        <v>5</v>
      </c>
      <c r="C46" s="25" t="s">
        <v>292</v>
      </c>
      <c r="D46" s="25" t="s">
        <v>293</v>
      </c>
      <c r="E46" s="26"/>
      <c r="F46" s="76"/>
      <c r="G46" s="76"/>
      <c r="H46" s="28" t="str">
        <f>IF(OR(E46="",F42="",G42=""),"",E46+F42+G42)</f>
        <v/>
      </c>
      <c r="I46" s="96" t="b">
        <v>0</v>
      </c>
    </row>
    <row r="47" spans="1:9" ht="15" customHeight="1" x14ac:dyDescent="0.3">
      <c r="A47" s="77" t="s">
        <v>294</v>
      </c>
      <c r="B47" s="29">
        <v>1</v>
      </c>
      <c r="C47" s="30" t="s">
        <v>295</v>
      </c>
      <c r="D47" s="30" t="s">
        <v>296</v>
      </c>
      <c r="E47" s="12"/>
      <c r="F47" s="74"/>
      <c r="G47" s="74"/>
      <c r="H47" s="31" t="str">
        <f>IF(OR(E47="",F47="",G47=""),"",E47+F47+G47)</f>
        <v/>
      </c>
      <c r="I47" s="96" t="b">
        <v>0</v>
      </c>
    </row>
    <row r="48" spans="1:9" ht="15" customHeight="1" x14ac:dyDescent="0.3">
      <c r="A48" s="78"/>
      <c r="B48" s="32">
        <v>2</v>
      </c>
      <c r="C48" s="33" t="s">
        <v>301</v>
      </c>
      <c r="D48" s="33" t="s">
        <v>303</v>
      </c>
      <c r="E48" s="19"/>
      <c r="F48" s="75"/>
      <c r="G48" s="75"/>
      <c r="H48" s="35" t="str">
        <f>IF(OR(E48="",F47="",G47=""),"",E48+F47+G47)</f>
        <v/>
      </c>
      <c r="I48" s="96" t="b">
        <v>0</v>
      </c>
    </row>
    <row r="49" spans="1:9" ht="15" customHeight="1" x14ac:dyDescent="0.3">
      <c r="A49" s="78"/>
      <c r="B49" s="32">
        <v>3</v>
      </c>
      <c r="C49" s="33" t="s">
        <v>305</v>
      </c>
      <c r="D49" s="33" t="s">
        <v>306</v>
      </c>
      <c r="E49" s="19"/>
      <c r="F49" s="75"/>
      <c r="G49" s="75"/>
      <c r="H49" s="35" t="str">
        <f>IF(OR(E49="",F47="",G47=""),"",E49+F47+G47)</f>
        <v/>
      </c>
      <c r="I49" s="96" t="b">
        <v>0</v>
      </c>
    </row>
    <row r="50" spans="1:9" ht="15" customHeight="1" x14ac:dyDescent="0.3">
      <c r="A50" s="78"/>
      <c r="B50" s="32">
        <v>4</v>
      </c>
      <c r="C50" s="33" t="s">
        <v>308</v>
      </c>
      <c r="D50" s="33" t="s">
        <v>309</v>
      </c>
      <c r="E50" s="19"/>
      <c r="F50" s="75"/>
      <c r="G50" s="75"/>
      <c r="H50" s="35" t="str">
        <f>IF(OR(E50="",F47="",G47=""),"",E50+F47+G47)</f>
        <v/>
      </c>
      <c r="I50" s="96" t="b">
        <v>0</v>
      </c>
    </row>
    <row r="51" spans="1:9" ht="15" customHeight="1" thickBot="1" x14ac:dyDescent="0.35">
      <c r="A51" s="79"/>
      <c r="B51" s="40">
        <v>5</v>
      </c>
      <c r="C51" s="41" t="s">
        <v>315</v>
      </c>
      <c r="D51" s="41" t="s">
        <v>317</v>
      </c>
      <c r="E51" s="26"/>
      <c r="F51" s="76"/>
      <c r="G51" s="76"/>
      <c r="H51" s="43" t="str">
        <f>IF(OR(E51="",F47="",G47=""),"",E51+F47+G47)</f>
        <v/>
      </c>
      <c r="I51" s="96" t="b">
        <v>0</v>
      </c>
    </row>
    <row r="52" spans="1:9" ht="15" customHeight="1" x14ac:dyDescent="0.3">
      <c r="A52" s="80" t="s">
        <v>318</v>
      </c>
      <c r="B52" s="9">
        <v>1</v>
      </c>
      <c r="C52" s="11" t="s">
        <v>319</v>
      </c>
      <c r="D52" s="11" t="s">
        <v>320</v>
      </c>
      <c r="E52" s="12"/>
      <c r="F52" s="74"/>
      <c r="G52" s="74"/>
      <c r="H52" s="15" t="str">
        <f>IF(OR(E52="",F52="",G52=""),"",E52+F52+G52)</f>
        <v/>
      </c>
      <c r="I52" s="96" t="b">
        <v>0</v>
      </c>
    </row>
    <row r="53" spans="1:9" ht="15" customHeight="1" x14ac:dyDescent="0.3">
      <c r="A53" s="78"/>
      <c r="B53" s="17">
        <v>2</v>
      </c>
      <c r="C53" s="18" t="s">
        <v>327</v>
      </c>
      <c r="D53" s="18" t="s">
        <v>328</v>
      </c>
      <c r="E53" s="19"/>
      <c r="F53" s="75"/>
      <c r="G53" s="75"/>
      <c r="H53" s="20" t="str">
        <f>IF(OR(E53="",F52="",G52=""),"",E53+F52+G52)</f>
        <v/>
      </c>
      <c r="I53" s="96" t="b">
        <v>0</v>
      </c>
    </row>
    <row r="54" spans="1:9" ht="15" customHeight="1" x14ac:dyDescent="0.3">
      <c r="A54" s="78"/>
      <c r="B54" s="17">
        <v>3</v>
      </c>
      <c r="C54" s="18" t="s">
        <v>329</v>
      </c>
      <c r="D54" s="18" t="s">
        <v>330</v>
      </c>
      <c r="E54" s="19"/>
      <c r="F54" s="75"/>
      <c r="G54" s="75"/>
      <c r="H54" s="20" t="str">
        <f>IF(OR(E54="",F52="",G52=""),"",E54+F52+G52)</f>
        <v/>
      </c>
      <c r="I54" s="96" t="b">
        <v>0</v>
      </c>
    </row>
    <row r="55" spans="1:9" ht="15" customHeight="1" x14ac:dyDescent="0.3">
      <c r="A55" s="78"/>
      <c r="B55" s="17">
        <v>4</v>
      </c>
      <c r="C55" s="18" t="s">
        <v>127</v>
      </c>
      <c r="D55" s="18" t="s">
        <v>125</v>
      </c>
      <c r="E55" s="19"/>
      <c r="F55" s="75"/>
      <c r="G55" s="75"/>
      <c r="H55" s="20" t="str">
        <f>IF(OR(E55="",F52="",G52=""),"",E55+F52+G52)</f>
        <v/>
      </c>
      <c r="I55" s="96" t="b">
        <v>0</v>
      </c>
    </row>
    <row r="56" spans="1:9" ht="15" customHeight="1" thickBot="1" x14ac:dyDescent="0.35">
      <c r="A56" s="79"/>
      <c r="B56" s="24">
        <v>5</v>
      </c>
      <c r="C56" s="25" t="s">
        <v>336</v>
      </c>
      <c r="D56" s="25" t="s">
        <v>337</v>
      </c>
      <c r="E56" s="26"/>
      <c r="F56" s="76"/>
      <c r="G56" s="76"/>
      <c r="H56" s="28" t="str">
        <f>IF(OR(E56="",F52="",G52=""),"",E56+F52+G52)</f>
        <v/>
      </c>
      <c r="I56" s="96" t="b">
        <v>0</v>
      </c>
    </row>
    <row r="57" spans="1:9" ht="15" customHeight="1" x14ac:dyDescent="0.3">
      <c r="A57" s="77" t="s">
        <v>347</v>
      </c>
      <c r="B57" s="29">
        <v>1</v>
      </c>
      <c r="C57" s="30" t="s">
        <v>348</v>
      </c>
      <c r="D57" s="30" t="s">
        <v>349</v>
      </c>
      <c r="E57" s="12"/>
      <c r="F57" s="74"/>
      <c r="G57" s="74"/>
      <c r="H57" s="31" t="str">
        <f>IF(OR(E57="",F57="",G57=""),"",E57+F57+G57)</f>
        <v/>
      </c>
      <c r="I57" s="96" t="b">
        <v>0</v>
      </c>
    </row>
    <row r="58" spans="1:9" ht="15" customHeight="1" x14ac:dyDescent="0.3">
      <c r="A58" s="78"/>
      <c r="B58" s="32">
        <v>2</v>
      </c>
      <c r="C58" s="33" t="s">
        <v>352</v>
      </c>
      <c r="D58" s="33" t="s">
        <v>354</v>
      </c>
      <c r="E58" s="19"/>
      <c r="F58" s="75"/>
      <c r="G58" s="75"/>
      <c r="H58" s="35" t="str">
        <f>IF(OR(E58="",F57="",G57=""),"",E58+F57+G57)</f>
        <v/>
      </c>
      <c r="I58" s="96" t="b">
        <v>0</v>
      </c>
    </row>
    <row r="59" spans="1:9" ht="15" customHeight="1" x14ac:dyDescent="0.3">
      <c r="A59" s="78"/>
      <c r="B59" s="32">
        <v>3</v>
      </c>
      <c r="C59" s="33" t="s">
        <v>358</v>
      </c>
      <c r="D59" s="33" t="s">
        <v>359</v>
      </c>
      <c r="E59" s="19"/>
      <c r="F59" s="75"/>
      <c r="G59" s="75"/>
      <c r="H59" s="35" t="str">
        <f>IF(OR(E59="",F57="",G57=""),"",E59+F57+G57)</f>
        <v/>
      </c>
      <c r="I59" s="96" t="b">
        <v>0</v>
      </c>
    </row>
    <row r="60" spans="1:9" ht="15" customHeight="1" x14ac:dyDescent="0.3">
      <c r="A60" s="78"/>
      <c r="B60" s="32">
        <v>4</v>
      </c>
      <c r="C60" s="33" t="s">
        <v>362</v>
      </c>
      <c r="D60" s="33" t="s">
        <v>363</v>
      </c>
      <c r="E60" s="19"/>
      <c r="F60" s="75"/>
      <c r="G60" s="75"/>
      <c r="H60" s="35" t="str">
        <f>IF(OR(E60="",F57="",G57=""),"",E60+F57+G57)</f>
        <v/>
      </c>
      <c r="I60" s="96" t="b">
        <v>0</v>
      </c>
    </row>
    <row r="61" spans="1:9" ht="15" customHeight="1" thickBot="1" x14ac:dyDescent="0.35">
      <c r="A61" s="79"/>
      <c r="B61" s="40">
        <v>5</v>
      </c>
      <c r="C61" s="41" t="s">
        <v>370</v>
      </c>
      <c r="D61" s="41" t="s">
        <v>371</v>
      </c>
      <c r="E61" s="26"/>
      <c r="F61" s="76"/>
      <c r="G61" s="76"/>
      <c r="H61" s="43" t="str">
        <f>IF(OR(E61="",F57="",G57=""),"",E61+F57+G57)</f>
        <v/>
      </c>
      <c r="I61" s="96" t="b">
        <v>0</v>
      </c>
    </row>
    <row r="62" spans="1:9" ht="15" customHeight="1" x14ac:dyDescent="0.3">
      <c r="A62" s="80" t="s">
        <v>372</v>
      </c>
      <c r="B62" s="9">
        <v>1</v>
      </c>
      <c r="C62" s="11" t="s">
        <v>373</v>
      </c>
      <c r="D62" s="11" t="s">
        <v>310</v>
      </c>
      <c r="E62" s="12"/>
      <c r="F62" s="74"/>
      <c r="G62" s="74"/>
      <c r="H62" s="15" t="str">
        <f>IF(OR(E62="",F62="",G62=""),"",E62+F62+G62)</f>
        <v/>
      </c>
      <c r="I62" s="96" t="b">
        <v>0</v>
      </c>
    </row>
    <row r="63" spans="1:9" ht="15" customHeight="1" x14ac:dyDescent="0.3">
      <c r="A63" s="78"/>
      <c r="B63" s="17">
        <v>2</v>
      </c>
      <c r="C63" s="18" t="s">
        <v>382</v>
      </c>
      <c r="D63" s="18" t="s">
        <v>383</v>
      </c>
      <c r="E63" s="19"/>
      <c r="F63" s="75"/>
      <c r="G63" s="75"/>
      <c r="H63" s="20" t="str">
        <f>IF(OR(E63="",F62="",G62=""),"",E63+F62+G62)</f>
        <v/>
      </c>
      <c r="I63" s="96" t="b">
        <v>0</v>
      </c>
    </row>
    <row r="64" spans="1:9" ht="15" customHeight="1" x14ac:dyDescent="0.3">
      <c r="A64" s="78"/>
      <c r="B64" s="17">
        <v>3</v>
      </c>
      <c r="C64" s="18" t="s">
        <v>386</v>
      </c>
      <c r="D64" s="18" t="s">
        <v>387</v>
      </c>
      <c r="E64" s="19"/>
      <c r="F64" s="75"/>
      <c r="G64" s="75"/>
      <c r="H64" s="20" t="str">
        <f>IF(OR(E64="",F62="",G62=""),"",E64+F62+G62)</f>
        <v/>
      </c>
      <c r="I64" s="96" t="b">
        <v>0</v>
      </c>
    </row>
    <row r="65" spans="1:9" ht="15" customHeight="1" x14ac:dyDescent="0.3">
      <c r="A65" s="78"/>
      <c r="B65" s="17">
        <v>4</v>
      </c>
      <c r="C65" s="18" t="s">
        <v>393</v>
      </c>
      <c r="D65" s="18" t="s">
        <v>394</v>
      </c>
      <c r="E65" s="19"/>
      <c r="F65" s="75"/>
      <c r="G65" s="75"/>
      <c r="H65" s="20" t="str">
        <f>IF(OR(E65="",F62="",G62=""),"",E65+F62+G62)</f>
        <v/>
      </c>
      <c r="I65" s="96" t="b">
        <v>0</v>
      </c>
    </row>
    <row r="66" spans="1:9" ht="15" customHeight="1" thickBot="1" x14ac:dyDescent="0.35">
      <c r="A66" s="79"/>
      <c r="B66" s="24">
        <v>5</v>
      </c>
      <c r="C66" s="25" t="s">
        <v>395</v>
      </c>
      <c r="D66" s="25" t="s">
        <v>396</v>
      </c>
      <c r="E66" s="26"/>
      <c r="F66" s="76"/>
      <c r="G66" s="76"/>
      <c r="H66" s="28" t="str">
        <f>IF(OR(E66="",F62="",G62=""),"",E66+F62+G62)</f>
        <v/>
      </c>
      <c r="I66" s="96" t="b">
        <v>0</v>
      </c>
    </row>
    <row r="67" spans="1:9" ht="15" customHeight="1" x14ac:dyDescent="0.3">
      <c r="A67" s="77" t="s">
        <v>400</v>
      </c>
      <c r="B67" s="29">
        <v>1</v>
      </c>
      <c r="C67" s="30" t="s">
        <v>404</v>
      </c>
      <c r="D67" s="30" t="s">
        <v>405</v>
      </c>
      <c r="E67" s="12"/>
      <c r="F67" s="74"/>
      <c r="G67" s="74"/>
      <c r="H67" s="31" t="str">
        <f>IF(OR(E67="",F67="",G67=""),"",E67+F67+G67)</f>
        <v/>
      </c>
      <c r="I67" s="96" t="b">
        <v>0</v>
      </c>
    </row>
    <row r="68" spans="1:9" ht="15" customHeight="1" x14ac:dyDescent="0.3">
      <c r="A68" s="78"/>
      <c r="B68" s="32">
        <v>2</v>
      </c>
      <c r="C68" s="33" t="s">
        <v>408</v>
      </c>
      <c r="D68" s="33" t="s">
        <v>409</v>
      </c>
      <c r="E68" s="19"/>
      <c r="F68" s="75"/>
      <c r="G68" s="75"/>
      <c r="H68" s="35" t="str">
        <f>IF(OR(E68="",F67="",G67=""),"",E68+F67+G67)</f>
        <v/>
      </c>
      <c r="I68" s="96" t="b">
        <v>0</v>
      </c>
    </row>
    <row r="69" spans="1:9" ht="15" customHeight="1" x14ac:dyDescent="0.3">
      <c r="A69" s="78"/>
      <c r="B69" s="32">
        <v>3</v>
      </c>
      <c r="C69" s="33" t="s">
        <v>53</v>
      </c>
      <c r="D69" s="33" t="s">
        <v>412</v>
      </c>
      <c r="E69" s="19"/>
      <c r="F69" s="75"/>
      <c r="G69" s="75"/>
      <c r="H69" s="35" t="str">
        <f>IF(OR(E69="",F67="",G67=""),"",E69+F67+G67)</f>
        <v/>
      </c>
      <c r="I69" s="96" t="b">
        <v>0</v>
      </c>
    </row>
    <row r="70" spans="1:9" ht="15" customHeight="1" x14ac:dyDescent="0.3">
      <c r="A70" s="78"/>
      <c r="B70" s="32">
        <v>4</v>
      </c>
      <c r="C70" s="33" t="s">
        <v>413</v>
      </c>
      <c r="D70" s="33" t="s">
        <v>414</v>
      </c>
      <c r="E70" s="19"/>
      <c r="F70" s="75"/>
      <c r="G70" s="75"/>
      <c r="H70" s="35" t="str">
        <f>IF(OR(E70="",F67="",G67=""),"",E70+F67+G67)</f>
        <v/>
      </c>
      <c r="I70" s="96" t="b">
        <v>0</v>
      </c>
    </row>
    <row r="71" spans="1:9" ht="15" customHeight="1" thickBot="1" x14ac:dyDescent="0.35">
      <c r="A71" s="79"/>
      <c r="B71" s="40">
        <v>5</v>
      </c>
      <c r="C71" s="41" t="s">
        <v>150</v>
      </c>
      <c r="D71" s="41" t="s">
        <v>421</v>
      </c>
      <c r="E71" s="26"/>
      <c r="F71" s="76"/>
      <c r="G71" s="76"/>
      <c r="H71" s="43" t="str">
        <f>IF(OR(E71="",F67="",G67=""),"",E71+F67+G67)</f>
        <v/>
      </c>
      <c r="I71" s="96" t="b">
        <v>0</v>
      </c>
    </row>
    <row r="72" spans="1:9" ht="15" customHeight="1" x14ac:dyDescent="0.3">
      <c r="A72" s="80" t="s">
        <v>422</v>
      </c>
      <c r="B72" s="9">
        <v>1</v>
      </c>
      <c r="C72" s="11" t="s">
        <v>424</v>
      </c>
      <c r="D72" s="11" t="s">
        <v>426</v>
      </c>
      <c r="E72" s="12"/>
      <c r="F72" s="74"/>
      <c r="G72" s="74"/>
      <c r="H72" s="15" t="str">
        <f>IF(OR(E72="",F72="",G72=""),"",E72+F72+G72)</f>
        <v/>
      </c>
      <c r="I72" s="96" t="b">
        <v>0</v>
      </c>
    </row>
    <row r="73" spans="1:9" ht="15" customHeight="1" x14ac:dyDescent="0.3">
      <c r="A73" s="78"/>
      <c r="B73" s="17">
        <v>2</v>
      </c>
      <c r="C73" s="18" t="s">
        <v>431</v>
      </c>
      <c r="D73" s="18" t="s">
        <v>432</v>
      </c>
      <c r="E73" s="19"/>
      <c r="F73" s="75"/>
      <c r="G73" s="75"/>
      <c r="H73" s="20" t="str">
        <f>IF(OR(E73="",F72="",G72=""),"",E73+F72+G72)</f>
        <v/>
      </c>
      <c r="I73" s="96" t="b">
        <v>0</v>
      </c>
    </row>
    <row r="74" spans="1:9" ht="15" customHeight="1" x14ac:dyDescent="0.3">
      <c r="A74" s="78"/>
      <c r="B74" s="17">
        <v>3</v>
      </c>
      <c r="C74" s="18" t="s">
        <v>434</v>
      </c>
      <c r="D74" s="18" t="s">
        <v>436</v>
      </c>
      <c r="E74" s="19"/>
      <c r="F74" s="75"/>
      <c r="G74" s="75"/>
      <c r="H74" s="20" t="str">
        <f>IF(OR(E74="",F72="",G72=""),"",E74+F72+G72)</f>
        <v/>
      </c>
      <c r="I74" s="96" t="b">
        <v>0</v>
      </c>
    </row>
    <row r="75" spans="1:9" ht="15" customHeight="1" x14ac:dyDescent="0.3">
      <c r="A75" s="78"/>
      <c r="B75" s="17">
        <v>4</v>
      </c>
      <c r="C75" s="18" t="s">
        <v>438</v>
      </c>
      <c r="D75" s="18" t="s">
        <v>440</v>
      </c>
      <c r="E75" s="19"/>
      <c r="F75" s="75"/>
      <c r="G75" s="75"/>
      <c r="H75" s="20" t="str">
        <f>IF(OR(E75="",F72="",G72=""),"",E75+F72+G72)</f>
        <v/>
      </c>
      <c r="I75" s="96" t="b">
        <v>0</v>
      </c>
    </row>
    <row r="76" spans="1:9" ht="15" customHeight="1" thickBot="1" x14ac:dyDescent="0.35">
      <c r="A76" s="79"/>
      <c r="B76" s="24">
        <v>5</v>
      </c>
      <c r="C76" s="25" t="s">
        <v>298</v>
      </c>
      <c r="D76" s="25" t="s">
        <v>297</v>
      </c>
      <c r="E76" s="26"/>
      <c r="F76" s="76"/>
      <c r="G76" s="76"/>
      <c r="H76" s="28" t="str">
        <f>IF(OR(E76="",F72="",G72=""),"",E76+F72+G72)</f>
        <v/>
      </c>
      <c r="I76" s="96" t="b">
        <v>0</v>
      </c>
    </row>
    <row r="77" spans="1:9" ht="15" customHeight="1" x14ac:dyDescent="0.3">
      <c r="A77" s="77" t="s">
        <v>449</v>
      </c>
      <c r="B77" s="29">
        <v>1</v>
      </c>
      <c r="C77" s="30" t="s">
        <v>450</v>
      </c>
      <c r="D77" s="30" t="s">
        <v>451</v>
      </c>
      <c r="E77" s="12"/>
      <c r="F77" s="74"/>
      <c r="G77" s="74"/>
      <c r="H77" s="31" t="str">
        <f>IF(OR(E77="",F77="",G77=""),"",E77+F77+G77)</f>
        <v/>
      </c>
      <c r="I77" s="96" t="b">
        <v>0</v>
      </c>
    </row>
    <row r="78" spans="1:9" ht="15" customHeight="1" x14ac:dyDescent="0.3">
      <c r="A78" s="78"/>
      <c r="B78" s="32">
        <v>2</v>
      </c>
      <c r="C78" s="33" t="s">
        <v>457</v>
      </c>
      <c r="D78" s="33" t="s">
        <v>458</v>
      </c>
      <c r="E78" s="19"/>
      <c r="F78" s="75"/>
      <c r="G78" s="75"/>
      <c r="H78" s="35" t="str">
        <f>IF(OR(E78="",F77="",G77=""),"",E78+F77+G77)</f>
        <v/>
      </c>
      <c r="I78" s="96" t="b">
        <v>0</v>
      </c>
    </row>
    <row r="79" spans="1:9" ht="15" customHeight="1" x14ac:dyDescent="0.3">
      <c r="A79" s="78"/>
      <c r="B79" s="32">
        <v>3</v>
      </c>
      <c r="C79" s="33" t="s">
        <v>462</v>
      </c>
      <c r="D79" s="33" t="s">
        <v>465</v>
      </c>
      <c r="E79" s="19"/>
      <c r="F79" s="75"/>
      <c r="G79" s="75"/>
      <c r="H79" s="35" t="str">
        <f>IF(OR(E79="",F77="",G77=""),"",E79+F77+G77)</f>
        <v/>
      </c>
      <c r="I79" s="96" t="b">
        <v>0</v>
      </c>
    </row>
    <row r="80" spans="1:9" ht="15" customHeight="1" x14ac:dyDescent="0.3">
      <c r="A80" s="78"/>
      <c r="B80" s="32">
        <v>4</v>
      </c>
      <c r="C80" s="33" t="s">
        <v>466</v>
      </c>
      <c r="D80" s="33" t="s">
        <v>384</v>
      </c>
      <c r="E80" s="19"/>
      <c r="F80" s="75"/>
      <c r="G80" s="75"/>
      <c r="H80" s="35" t="str">
        <f>IF(OR(E80="",F77="",G77=""),"",E80+F77+G77)</f>
        <v/>
      </c>
      <c r="I80" s="96" t="b">
        <v>0</v>
      </c>
    </row>
    <row r="81" spans="1:9" ht="15" customHeight="1" thickBot="1" x14ac:dyDescent="0.35">
      <c r="A81" s="79"/>
      <c r="B81" s="40">
        <v>5</v>
      </c>
      <c r="C81" s="41" t="s">
        <v>472</v>
      </c>
      <c r="D81" s="41" t="s">
        <v>473</v>
      </c>
      <c r="E81" s="26"/>
      <c r="F81" s="76"/>
      <c r="G81" s="76"/>
      <c r="H81" s="43" t="str">
        <f>IF(OR(E81="",F77="",G77=""),"",E81+F77+G77)</f>
        <v/>
      </c>
      <c r="I81" s="96" t="b">
        <v>0</v>
      </c>
    </row>
    <row r="82" spans="1:9" ht="15" customHeight="1" x14ac:dyDescent="0.3">
      <c r="A82" s="80" t="s">
        <v>478</v>
      </c>
      <c r="B82" s="9">
        <v>1</v>
      </c>
      <c r="C82" s="11" t="s">
        <v>482</v>
      </c>
      <c r="D82" s="11" t="s">
        <v>484</v>
      </c>
      <c r="E82" s="12"/>
      <c r="F82" s="74"/>
      <c r="G82" s="74"/>
      <c r="H82" s="15" t="str">
        <f>IF(OR(E82="",F82="",G82=""),"",E82+F82+G82)</f>
        <v/>
      </c>
      <c r="I82" s="96" t="b">
        <v>0</v>
      </c>
    </row>
    <row r="83" spans="1:9" ht="15" customHeight="1" x14ac:dyDescent="0.3">
      <c r="A83" s="78"/>
      <c r="B83" s="17">
        <v>2</v>
      </c>
      <c r="C83" s="18" t="s">
        <v>487</v>
      </c>
      <c r="D83" s="18" t="s">
        <v>488</v>
      </c>
      <c r="E83" s="19"/>
      <c r="F83" s="75"/>
      <c r="G83" s="75"/>
      <c r="H83" s="20" t="str">
        <f>IF(OR(E83="",F82="",G82=""),"",E83+F82+G82)</f>
        <v/>
      </c>
      <c r="I83" s="96" t="b">
        <v>0</v>
      </c>
    </row>
    <row r="84" spans="1:9" ht="15" customHeight="1" x14ac:dyDescent="0.3">
      <c r="A84" s="78"/>
      <c r="B84" s="17">
        <v>3</v>
      </c>
      <c r="C84" s="18" t="s">
        <v>493</v>
      </c>
      <c r="D84" s="18" t="s">
        <v>494</v>
      </c>
      <c r="E84" s="19"/>
      <c r="F84" s="75"/>
      <c r="G84" s="75"/>
      <c r="H84" s="20" t="str">
        <f>IF(OR(E84="",F82="",G82=""),"",E84+F82+G82)</f>
        <v/>
      </c>
      <c r="I84" s="96" t="b">
        <v>0</v>
      </c>
    </row>
    <row r="85" spans="1:9" ht="15" customHeight="1" x14ac:dyDescent="0.3">
      <c r="A85" s="78"/>
      <c r="B85" s="17">
        <v>4</v>
      </c>
      <c r="C85" s="18" t="s">
        <v>500</v>
      </c>
      <c r="D85" s="18" t="s">
        <v>502</v>
      </c>
      <c r="E85" s="19"/>
      <c r="F85" s="75"/>
      <c r="G85" s="75"/>
      <c r="H85" s="20" t="str">
        <f>IF(OR(E85="",F82="",G82=""),"",E85+F82+G82)</f>
        <v/>
      </c>
      <c r="I85" s="96" t="b">
        <v>0</v>
      </c>
    </row>
    <row r="86" spans="1:9" ht="15" customHeight="1" thickBot="1" x14ac:dyDescent="0.35">
      <c r="A86" s="79"/>
      <c r="B86" s="24">
        <v>5</v>
      </c>
      <c r="C86" s="25" t="s">
        <v>503</v>
      </c>
      <c r="D86" s="25" t="s">
        <v>504</v>
      </c>
      <c r="E86" s="26"/>
      <c r="F86" s="76"/>
      <c r="G86" s="76"/>
      <c r="H86" s="28" t="str">
        <f>IF(OR(E86="",F82="",G82=""),"",E86+F82+G82)</f>
        <v/>
      </c>
      <c r="I86" s="96" t="b">
        <v>0</v>
      </c>
    </row>
    <row r="87" spans="1:9" ht="15" customHeight="1" x14ac:dyDescent="0.3">
      <c r="A87" s="77" t="s">
        <v>509</v>
      </c>
      <c r="B87" s="29">
        <v>1</v>
      </c>
      <c r="C87" s="30" t="s">
        <v>510</v>
      </c>
      <c r="D87" s="30" t="s">
        <v>511</v>
      </c>
      <c r="E87" s="12"/>
      <c r="F87" s="74"/>
      <c r="G87" s="74"/>
      <c r="H87" s="31" t="str">
        <f>IF(OR(E87="",F87="",G87=""),"",E87+F87+G87)</f>
        <v/>
      </c>
      <c r="I87" s="96" t="b">
        <v>0</v>
      </c>
    </row>
    <row r="88" spans="1:9" ht="15" customHeight="1" x14ac:dyDescent="0.3">
      <c r="A88" s="78"/>
      <c r="B88" s="32">
        <v>2</v>
      </c>
      <c r="C88" s="33" t="s">
        <v>517</v>
      </c>
      <c r="D88" s="33" t="s">
        <v>518</v>
      </c>
      <c r="E88" s="19"/>
      <c r="F88" s="75"/>
      <c r="G88" s="75"/>
      <c r="H88" s="35" t="str">
        <f>IF(OR(E88="",F87="",G87=""),"",E88+F87+G87)</f>
        <v/>
      </c>
      <c r="I88" s="96" t="b">
        <v>0</v>
      </c>
    </row>
    <row r="89" spans="1:9" ht="15" customHeight="1" x14ac:dyDescent="0.3">
      <c r="A89" s="78"/>
      <c r="B89" s="32">
        <v>3</v>
      </c>
      <c r="C89" s="33" t="s">
        <v>522</v>
      </c>
      <c r="D89" s="33" t="s">
        <v>524</v>
      </c>
      <c r="E89" s="19"/>
      <c r="F89" s="75"/>
      <c r="G89" s="75"/>
      <c r="H89" s="35" t="str">
        <f>IF(OR(E89="",F87="",G87=""),"",E89+F87+G87)</f>
        <v/>
      </c>
      <c r="I89" s="96" t="b">
        <v>0</v>
      </c>
    </row>
    <row r="90" spans="1:9" ht="15" customHeight="1" x14ac:dyDescent="0.3">
      <c r="A90" s="78"/>
      <c r="B90" s="32">
        <v>4</v>
      </c>
      <c r="C90" s="33" t="s">
        <v>527</v>
      </c>
      <c r="D90" s="33" t="s">
        <v>528</v>
      </c>
      <c r="E90" s="19"/>
      <c r="F90" s="75"/>
      <c r="G90" s="75"/>
      <c r="H90" s="35" t="str">
        <f>IF(OR(E90="",F87="",G87=""),"",E90+F87+G87)</f>
        <v/>
      </c>
      <c r="I90" s="96" t="b">
        <v>0</v>
      </c>
    </row>
    <row r="91" spans="1:9" ht="15" customHeight="1" thickBot="1" x14ac:dyDescent="0.35">
      <c r="A91" s="79"/>
      <c r="B91" s="40">
        <v>5</v>
      </c>
      <c r="C91" s="41" t="s">
        <v>534</v>
      </c>
      <c r="D91" s="41" t="s">
        <v>535</v>
      </c>
      <c r="E91" s="26"/>
      <c r="F91" s="76"/>
      <c r="G91" s="76"/>
      <c r="H91" s="43" t="str">
        <f>IF(OR(E91="",F87="",G87=""),"",E91+F87+G87)</f>
        <v/>
      </c>
      <c r="I91" s="96" t="b">
        <v>0</v>
      </c>
    </row>
    <row r="92" spans="1:9" ht="15" customHeight="1" x14ac:dyDescent="0.3">
      <c r="A92" s="80" t="s">
        <v>538</v>
      </c>
      <c r="B92" s="9">
        <v>1</v>
      </c>
      <c r="C92" s="11" t="s">
        <v>104</v>
      </c>
      <c r="D92" s="11" t="s">
        <v>103</v>
      </c>
      <c r="E92" s="12"/>
      <c r="F92" s="74"/>
      <c r="G92" s="74"/>
      <c r="H92" s="15" t="str">
        <f>IF(OR(E92="",F92="",G92=""),"",E92+F92+G92)</f>
        <v/>
      </c>
      <c r="I92" s="96" t="b">
        <v>0</v>
      </c>
    </row>
    <row r="93" spans="1:9" ht="15" customHeight="1" x14ac:dyDescent="0.3">
      <c r="A93" s="78"/>
      <c r="B93" s="17">
        <v>2</v>
      </c>
      <c r="C93" s="18" t="s">
        <v>545</v>
      </c>
      <c r="D93" s="18" t="s">
        <v>546</v>
      </c>
      <c r="E93" s="19"/>
      <c r="F93" s="75"/>
      <c r="G93" s="75"/>
      <c r="H93" s="20" t="str">
        <f>IF(OR(E93="",F92="",G92=""),"",E93+F92+G92)</f>
        <v/>
      </c>
      <c r="I93" s="96" t="b">
        <v>0</v>
      </c>
    </row>
    <row r="94" spans="1:9" ht="15" customHeight="1" x14ac:dyDescent="0.3">
      <c r="A94" s="78"/>
      <c r="B94" s="17">
        <v>3</v>
      </c>
      <c r="C94" s="18" t="s">
        <v>549</v>
      </c>
      <c r="D94" s="18" t="s">
        <v>551</v>
      </c>
      <c r="E94" s="19"/>
      <c r="F94" s="75"/>
      <c r="G94" s="75"/>
      <c r="H94" s="20" t="str">
        <f>IF(OR(E94="",F92="",G92=""),"",E94+F92+G92)</f>
        <v/>
      </c>
      <c r="I94" s="96" t="b">
        <v>0</v>
      </c>
    </row>
    <row r="95" spans="1:9" ht="15" customHeight="1" x14ac:dyDescent="0.3">
      <c r="A95" s="78"/>
      <c r="B95" s="17">
        <v>4</v>
      </c>
      <c r="C95" s="18" t="s">
        <v>554</v>
      </c>
      <c r="D95" s="18" t="s">
        <v>555</v>
      </c>
      <c r="E95" s="19"/>
      <c r="F95" s="75"/>
      <c r="G95" s="75"/>
      <c r="H95" s="20" t="str">
        <f>IF(OR(E95="",F92="",G92=""),"",E95+F92+G92)</f>
        <v/>
      </c>
      <c r="I95" s="96" t="b">
        <v>0</v>
      </c>
    </row>
    <row r="96" spans="1:9" ht="15" customHeight="1" thickBot="1" x14ac:dyDescent="0.35">
      <c r="A96" s="79"/>
      <c r="B96" s="24">
        <v>5</v>
      </c>
      <c r="C96" s="25" t="s">
        <v>559</v>
      </c>
      <c r="D96" s="25" t="s">
        <v>561</v>
      </c>
      <c r="E96" s="26"/>
      <c r="F96" s="76"/>
      <c r="G96" s="76"/>
      <c r="H96" s="28" t="str">
        <f>IF(OR(E96="",F92="",G92=""),"",E96+F92+G92)</f>
        <v/>
      </c>
      <c r="I96" s="96" t="b">
        <v>0</v>
      </c>
    </row>
    <row r="97" spans="1:9" ht="15" customHeight="1" x14ac:dyDescent="0.3">
      <c r="A97" s="77" t="s">
        <v>565</v>
      </c>
      <c r="B97" s="29">
        <v>1</v>
      </c>
      <c r="C97" s="30" t="s">
        <v>566</v>
      </c>
      <c r="D97" s="30" t="s">
        <v>567</v>
      </c>
      <c r="E97" s="12"/>
      <c r="F97" s="74"/>
      <c r="G97" s="74"/>
      <c r="H97" s="31" t="str">
        <f>IF(OR(E97="",F97="",G97=""),"",E97+F97+G97)</f>
        <v/>
      </c>
      <c r="I97" s="96" t="b">
        <v>0</v>
      </c>
    </row>
    <row r="98" spans="1:9" ht="15" customHeight="1" x14ac:dyDescent="0.3">
      <c r="A98" s="78"/>
      <c r="B98" s="32">
        <v>2</v>
      </c>
      <c r="C98" s="33" t="s">
        <v>572</v>
      </c>
      <c r="D98" s="33" t="s">
        <v>573</v>
      </c>
      <c r="E98" s="19"/>
      <c r="F98" s="75"/>
      <c r="G98" s="75"/>
      <c r="H98" s="35" t="str">
        <f>IF(OR(E98="",F97="",G97=""),"",E98+F97+G97)</f>
        <v/>
      </c>
      <c r="I98" s="96" t="b">
        <v>0</v>
      </c>
    </row>
    <row r="99" spans="1:9" ht="15" customHeight="1" x14ac:dyDescent="0.3">
      <c r="A99" s="78"/>
      <c r="B99" s="32">
        <v>3</v>
      </c>
      <c r="C99" s="33" t="s">
        <v>576</v>
      </c>
      <c r="D99" s="33" t="s">
        <v>578</v>
      </c>
      <c r="E99" s="19"/>
      <c r="F99" s="75"/>
      <c r="G99" s="75"/>
      <c r="H99" s="35" t="str">
        <f>IF(OR(E99="",F97="",G97=""),"",E99+F97+G97)</f>
        <v/>
      </c>
      <c r="I99" s="96" t="b">
        <v>0</v>
      </c>
    </row>
    <row r="100" spans="1:9" ht="15" customHeight="1" x14ac:dyDescent="0.3">
      <c r="A100" s="78"/>
      <c r="B100" s="32">
        <v>4</v>
      </c>
      <c r="C100" s="33" t="s">
        <v>580</v>
      </c>
      <c r="D100" s="33" t="s">
        <v>582</v>
      </c>
      <c r="E100" s="19"/>
      <c r="F100" s="75"/>
      <c r="G100" s="75"/>
      <c r="H100" s="35" t="str">
        <f>IF(OR(E100="",F97="",G97=""),"",E100+F97+G97)</f>
        <v/>
      </c>
      <c r="I100" s="96" t="b">
        <v>0</v>
      </c>
    </row>
    <row r="101" spans="1:9" ht="15" customHeight="1" thickBot="1" x14ac:dyDescent="0.35">
      <c r="A101" s="79"/>
      <c r="B101" s="40">
        <v>5</v>
      </c>
      <c r="C101" s="41" t="s">
        <v>587</v>
      </c>
      <c r="D101" s="41" t="s">
        <v>588</v>
      </c>
      <c r="E101" s="26"/>
      <c r="F101" s="76"/>
      <c r="G101" s="76"/>
      <c r="H101" s="43" t="str">
        <f>IF(OR(E101="",F97="",G97=""),"",E101+F97+G97)</f>
        <v/>
      </c>
      <c r="I101" s="96" t="b">
        <v>0</v>
      </c>
    </row>
    <row r="102" spans="1:9" ht="15" customHeight="1" x14ac:dyDescent="0.3">
      <c r="A102" s="80" t="s">
        <v>589</v>
      </c>
      <c r="B102" s="9">
        <v>1</v>
      </c>
      <c r="C102" s="11" t="s">
        <v>592</v>
      </c>
      <c r="D102" s="11" t="s">
        <v>593</v>
      </c>
      <c r="E102" s="12"/>
      <c r="F102" s="74"/>
      <c r="G102" s="74"/>
      <c r="H102" s="15" t="str">
        <f>IF(OR(E102="",F102="",G102=""),"",E102+F102+G102)</f>
        <v/>
      </c>
      <c r="I102" s="96" t="b">
        <v>0</v>
      </c>
    </row>
    <row r="103" spans="1:9" ht="15" customHeight="1" x14ac:dyDescent="0.3">
      <c r="A103" s="78"/>
      <c r="B103" s="17">
        <v>2</v>
      </c>
      <c r="C103" s="18" t="s">
        <v>351</v>
      </c>
      <c r="D103" s="18" t="s">
        <v>350</v>
      </c>
      <c r="E103" s="19"/>
      <c r="F103" s="75"/>
      <c r="G103" s="75"/>
      <c r="H103" s="20" t="str">
        <f>IF(OR(E103="",F102="",G102=""),"",E103+F102+G102)</f>
        <v/>
      </c>
      <c r="I103" s="96" t="b">
        <v>0</v>
      </c>
    </row>
    <row r="104" spans="1:9" ht="15" customHeight="1" x14ac:dyDescent="0.3">
      <c r="A104" s="78"/>
      <c r="B104" s="17">
        <v>3</v>
      </c>
      <c r="C104" s="18" t="s">
        <v>604</v>
      </c>
      <c r="D104" s="18" t="s">
        <v>605</v>
      </c>
      <c r="E104" s="19"/>
      <c r="F104" s="75"/>
      <c r="G104" s="75"/>
      <c r="H104" s="20" t="str">
        <f>IF(OR(E104="",F102="",G102=""),"",E104+F102+G102)</f>
        <v/>
      </c>
      <c r="I104" s="96" t="b">
        <v>0</v>
      </c>
    </row>
    <row r="105" spans="1:9" ht="15" customHeight="1" x14ac:dyDescent="0.3">
      <c r="A105" s="78"/>
      <c r="B105" s="17">
        <v>4</v>
      </c>
      <c r="C105" s="18" t="s">
        <v>606</v>
      </c>
      <c r="D105" s="18" t="s">
        <v>607</v>
      </c>
      <c r="E105" s="19"/>
      <c r="F105" s="75"/>
      <c r="G105" s="75"/>
      <c r="H105" s="20" t="str">
        <f>IF(OR(E105="",F102="",G102=""),"",E105+F102+G102)</f>
        <v/>
      </c>
      <c r="I105" s="96" t="b">
        <v>0</v>
      </c>
    </row>
    <row r="106" spans="1:9" ht="15" customHeight="1" thickBot="1" x14ac:dyDescent="0.35">
      <c r="A106" s="79"/>
      <c r="B106" s="24">
        <v>5</v>
      </c>
      <c r="C106" s="25" t="s">
        <v>612</v>
      </c>
      <c r="D106" s="25" t="s">
        <v>613</v>
      </c>
      <c r="E106" s="26"/>
      <c r="F106" s="76"/>
      <c r="G106" s="76"/>
      <c r="H106" s="28" t="str">
        <f>IF(OR(E106="",F102="",G102=""),"",E106+F102+G102)</f>
        <v/>
      </c>
      <c r="I106" s="96" t="b">
        <v>0</v>
      </c>
    </row>
    <row r="107" spans="1:9" ht="15" customHeight="1" x14ac:dyDescent="0.3">
      <c r="A107" s="77" t="s">
        <v>618</v>
      </c>
      <c r="B107" s="29">
        <v>1</v>
      </c>
      <c r="C107" s="30" t="s">
        <v>444</v>
      </c>
      <c r="D107" s="30" t="s">
        <v>443</v>
      </c>
      <c r="E107" s="12"/>
      <c r="F107" s="74"/>
      <c r="G107" s="74"/>
      <c r="H107" s="31" t="str">
        <f>IF(OR(E107="",F107="",G107=""),"",E107+F107+G107)</f>
        <v/>
      </c>
      <c r="I107" s="96" t="b">
        <v>0</v>
      </c>
    </row>
    <row r="108" spans="1:9" ht="15" customHeight="1" x14ac:dyDescent="0.3">
      <c r="A108" s="78"/>
      <c r="B108" s="32">
        <v>2</v>
      </c>
      <c r="C108" s="33" t="s">
        <v>622</v>
      </c>
      <c r="D108" s="33" t="s">
        <v>623</v>
      </c>
      <c r="E108" s="19"/>
      <c r="F108" s="75"/>
      <c r="G108" s="75"/>
      <c r="H108" s="35" t="str">
        <f>IF(OR(E108="",F107="",G107=""),"",E108+F107+G107)</f>
        <v/>
      </c>
      <c r="I108" s="96" t="b">
        <v>0</v>
      </c>
    </row>
    <row r="109" spans="1:9" ht="15" customHeight="1" x14ac:dyDescent="0.3">
      <c r="A109" s="78"/>
      <c r="B109" s="32">
        <v>3</v>
      </c>
      <c r="C109" s="33" t="s">
        <v>628</v>
      </c>
      <c r="D109" s="33" t="s">
        <v>340</v>
      </c>
      <c r="E109" s="19"/>
      <c r="F109" s="75"/>
      <c r="G109" s="75"/>
      <c r="H109" s="35" t="str">
        <f>IF(OR(E109="",F107="",G107=""),"",E109+F107+G107)</f>
        <v/>
      </c>
      <c r="I109" s="96" t="b">
        <v>0</v>
      </c>
    </row>
    <row r="110" spans="1:9" ht="15" customHeight="1" x14ac:dyDescent="0.3">
      <c r="A110" s="78"/>
      <c r="B110" s="32">
        <v>4</v>
      </c>
      <c r="C110" s="33" t="s">
        <v>631</v>
      </c>
      <c r="D110" s="33" t="s">
        <v>632</v>
      </c>
      <c r="E110" s="19"/>
      <c r="F110" s="75"/>
      <c r="G110" s="75"/>
      <c r="H110" s="35" t="str">
        <f>IF(OR(E110="",F107="",G107=""),"",E110+F107+G107)</f>
        <v/>
      </c>
      <c r="I110" s="96" t="b">
        <v>0</v>
      </c>
    </row>
    <row r="111" spans="1:9" ht="15" customHeight="1" thickBot="1" x14ac:dyDescent="0.35">
      <c r="A111" s="79"/>
      <c r="B111" s="40">
        <v>5</v>
      </c>
      <c r="C111" s="41" t="s">
        <v>638</v>
      </c>
      <c r="D111" s="41" t="s">
        <v>639</v>
      </c>
      <c r="E111" s="26"/>
      <c r="F111" s="76"/>
      <c r="G111" s="76"/>
      <c r="H111" s="43" t="str">
        <f>IF(OR(E111="",F107="",G107=""),"",E111+F107+G107)</f>
        <v/>
      </c>
      <c r="I111" s="96" t="b">
        <v>0</v>
      </c>
    </row>
    <row r="112" spans="1:9" ht="15" customHeight="1" x14ac:dyDescent="0.3">
      <c r="A112" s="80" t="s">
        <v>640</v>
      </c>
      <c r="B112" s="9">
        <v>1</v>
      </c>
      <c r="C112" s="11" t="s">
        <v>643</v>
      </c>
      <c r="D112" s="11" t="s">
        <v>645</v>
      </c>
      <c r="E112" s="12"/>
      <c r="F112" s="74"/>
      <c r="G112" s="74"/>
      <c r="H112" s="15" t="str">
        <f>IF(OR(E112="",F112="",G112=""),"",E112+F112+G112)</f>
        <v/>
      </c>
      <c r="I112" s="96" t="b">
        <v>0</v>
      </c>
    </row>
    <row r="113" spans="1:9" ht="15" customHeight="1" x14ac:dyDescent="0.3">
      <c r="A113" s="78"/>
      <c r="B113" s="17">
        <v>2</v>
      </c>
      <c r="C113" s="18" t="s">
        <v>648</v>
      </c>
      <c r="D113" s="18" t="s">
        <v>364</v>
      </c>
      <c r="E113" s="19"/>
      <c r="F113" s="75"/>
      <c r="G113" s="75"/>
      <c r="H113" s="20" t="str">
        <f>IF(OR(E113="",F112="",G112=""),"",E113+F112+G112)</f>
        <v/>
      </c>
      <c r="I113" s="96" t="b">
        <v>0</v>
      </c>
    </row>
    <row r="114" spans="1:9" ht="15" customHeight="1" x14ac:dyDescent="0.3">
      <c r="A114" s="78"/>
      <c r="B114" s="17">
        <v>3</v>
      </c>
      <c r="C114" s="18" t="s">
        <v>654</v>
      </c>
      <c r="D114" s="18" t="s">
        <v>655</v>
      </c>
      <c r="E114" s="19"/>
      <c r="F114" s="75"/>
      <c r="G114" s="75"/>
      <c r="H114" s="20" t="str">
        <f>IF(OR(E114="",F112="",G112=""),"",E114+F112+G112)</f>
        <v/>
      </c>
      <c r="I114" s="96" t="b">
        <v>0</v>
      </c>
    </row>
    <row r="115" spans="1:9" ht="15" customHeight="1" x14ac:dyDescent="0.3">
      <c r="A115" s="78"/>
      <c r="B115" s="17">
        <v>4</v>
      </c>
      <c r="C115" s="18" t="s">
        <v>661</v>
      </c>
      <c r="D115" s="18" t="s">
        <v>662</v>
      </c>
      <c r="E115" s="19"/>
      <c r="F115" s="75"/>
      <c r="G115" s="75"/>
      <c r="H115" s="20" t="str">
        <f>IF(OR(E115="",F112="",G112=""),"",E115+F112+G112)</f>
        <v/>
      </c>
      <c r="I115" s="96" t="b">
        <v>0</v>
      </c>
    </row>
    <row r="116" spans="1:9" ht="15" customHeight="1" thickBot="1" x14ac:dyDescent="0.35">
      <c r="A116" s="79"/>
      <c r="B116" s="24">
        <v>5</v>
      </c>
      <c r="C116" s="25" t="s">
        <v>663</v>
      </c>
      <c r="D116" s="25" t="s">
        <v>664</v>
      </c>
      <c r="E116" s="26"/>
      <c r="F116" s="76"/>
      <c r="G116" s="76"/>
      <c r="H116" s="28" t="str">
        <f>IF(OR(E116="",F112="",G112=""),"",E116+F112+G112)</f>
        <v/>
      </c>
      <c r="I116" s="96" t="b">
        <v>0</v>
      </c>
    </row>
    <row r="117" spans="1:9" ht="15" customHeight="1" x14ac:dyDescent="0.3">
      <c r="A117" s="77" t="s">
        <v>670</v>
      </c>
      <c r="B117" s="29">
        <v>1</v>
      </c>
      <c r="C117" s="30" t="s">
        <v>657</v>
      </c>
      <c r="D117" s="30" t="s">
        <v>656</v>
      </c>
      <c r="E117" s="12"/>
      <c r="F117" s="74"/>
      <c r="G117" s="74"/>
      <c r="H117" s="31" t="str">
        <f>IF(OR(E117="",F117="",G117=""),"",E117+F117+G117)</f>
        <v/>
      </c>
      <c r="I117" s="96" t="b">
        <v>0</v>
      </c>
    </row>
    <row r="118" spans="1:9" ht="15" customHeight="1" x14ac:dyDescent="0.3">
      <c r="A118" s="78"/>
      <c r="B118" s="32">
        <v>2</v>
      </c>
      <c r="C118" s="33" t="s">
        <v>600</v>
      </c>
      <c r="D118" s="33" t="s">
        <v>599</v>
      </c>
      <c r="E118" s="19"/>
      <c r="F118" s="75"/>
      <c r="G118" s="75"/>
      <c r="H118" s="35" t="str">
        <f>IF(OR(E118="",F117="",G117=""),"",E118+F117+G117)</f>
        <v/>
      </c>
      <c r="I118" s="96" t="b">
        <v>0</v>
      </c>
    </row>
    <row r="119" spans="1:9" ht="15" customHeight="1" x14ac:dyDescent="0.3">
      <c r="A119" s="78"/>
      <c r="B119" s="32">
        <v>3</v>
      </c>
      <c r="C119" s="33" t="s">
        <v>675</v>
      </c>
      <c r="D119" s="33" t="s">
        <v>677</v>
      </c>
      <c r="E119" s="19"/>
      <c r="F119" s="75"/>
      <c r="G119" s="75"/>
      <c r="H119" s="35" t="str">
        <f>IF(OR(E119="",F117="",G117=""),"",E119+F117+G117)</f>
        <v/>
      </c>
      <c r="I119" s="96" t="b">
        <v>0</v>
      </c>
    </row>
    <row r="120" spans="1:9" ht="15" customHeight="1" x14ac:dyDescent="0.3">
      <c r="A120" s="78"/>
      <c r="B120" s="32">
        <v>4</v>
      </c>
      <c r="C120" s="33" t="s">
        <v>680</v>
      </c>
      <c r="D120" s="33" t="s">
        <v>681</v>
      </c>
      <c r="E120" s="19"/>
      <c r="F120" s="75"/>
      <c r="G120" s="75"/>
      <c r="H120" s="35" t="str">
        <f>IF(OR(E120="",F117="",G117=""),"",E120+F117+G117)</f>
        <v/>
      </c>
      <c r="I120" s="96" t="b">
        <v>0</v>
      </c>
    </row>
    <row r="121" spans="1:9" ht="15" customHeight="1" thickBot="1" x14ac:dyDescent="0.35">
      <c r="A121" s="79"/>
      <c r="B121" s="40">
        <v>5</v>
      </c>
      <c r="C121" s="41" t="s">
        <v>685</v>
      </c>
      <c r="D121" s="41" t="s">
        <v>686</v>
      </c>
      <c r="E121" s="26"/>
      <c r="F121" s="76"/>
      <c r="G121" s="76"/>
      <c r="H121" s="43" t="str">
        <f>IF(OR(E121="",F117="",G117=""),"",E121+F117+G117)</f>
        <v/>
      </c>
      <c r="I121" s="96" t="b">
        <v>0</v>
      </c>
    </row>
    <row r="122" spans="1:9" ht="15" customHeight="1" x14ac:dyDescent="0.3">
      <c r="A122" s="80" t="s">
        <v>690</v>
      </c>
      <c r="B122" s="9">
        <v>1</v>
      </c>
      <c r="C122" s="11" t="s">
        <v>460</v>
      </c>
      <c r="D122" s="11" t="s">
        <v>459</v>
      </c>
      <c r="E122" s="12"/>
      <c r="F122" s="74"/>
      <c r="G122" s="74"/>
      <c r="H122" s="15" t="str">
        <f>IF(OR(E122="",F122="",G122=""),"",E122+F122+G122)</f>
        <v/>
      </c>
      <c r="I122" s="96" t="b">
        <v>0</v>
      </c>
    </row>
    <row r="123" spans="1:9" ht="15" customHeight="1" x14ac:dyDescent="0.3">
      <c r="A123" s="78"/>
      <c r="B123" s="17">
        <v>2</v>
      </c>
      <c r="C123" s="18" t="s">
        <v>695</v>
      </c>
      <c r="D123" s="18" t="s">
        <v>696</v>
      </c>
      <c r="E123" s="19"/>
      <c r="F123" s="75"/>
      <c r="G123" s="75"/>
      <c r="H123" s="20" t="str">
        <f>IF(OR(E123="",F122="",G122=""),"",E123+F122+G122)</f>
        <v/>
      </c>
      <c r="I123" s="96" t="b">
        <v>0</v>
      </c>
    </row>
    <row r="124" spans="1:9" ht="15" customHeight="1" x14ac:dyDescent="0.3">
      <c r="A124" s="78"/>
      <c r="B124" s="17">
        <v>3</v>
      </c>
      <c r="C124" s="18" t="s">
        <v>702</v>
      </c>
      <c r="D124" s="18" t="s">
        <v>703</v>
      </c>
      <c r="E124" s="19"/>
      <c r="F124" s="75"/>
      <c r="G124" s="75"/>
      <c r="H124" s="20" t="str">
        <f>IF(OR(E124="",F122="",G122=""),"",E124+F122+G122)</f>
        <v/>
      </c>
      <c r="I124" s="96" t="b">
        <v>0</v>
      </c>
    </row>
    <row r="125" spans="1:9" ht="15" customHeight="1" x14ac:dyDescent="0.3">
      <c r="A125" s="78"/>
      <c r="B125" s="17">
        <v>4</v>
      </c>
      <c r="C125" s="18" t="s">
        <v>704</v>
      </c>
      <c r="D125" s="18" t="s">
        <v>705</v>
      </c>
      <c r="E125" s="19"/>
      <c r="F125" s="75"/>
      <c r="G125" s="75"/>
      <c r="H125" s="20" t="str">
        <f>IF(OR(E125="",F122="",G122=""),"",E125+F122+G122)</f>
        <v/>
      </c>
      <c r="I125" s="96" t="b">
        <v>0</v>
      </c>
    </row>
    <row r="126" spans="1:9" ht="15" customHeight="1" thickBot="1" x14ac:dyDescent="0.35">
      <c r="A126" s="79"/>
      <c r="B126" s="24">
        <v>5</v>
      </c>
      <c r="C126" s="25" t="s">
        <v>710</v>
      </c>
      <c r="D126" s="25" t="s">
        <v>485</v>
      </c>
      <c r="E126" s="26"/>
      <c r="F126" s="76"/>
      <c r="G126" s="76"/>
      <c r="H126" s="28" t="str">
        <f>IF(OR(E126="",F122="",G122=""),"",E126+F122+G122)</f>
        <v/>
      </c>
      <c r="I126" s="96" t="b">
        <v>0</v>
      </c>
    </row>
    <row r="127" spans="1:9" ht="15" customHeight="1" x14ac:dyDescent="0.3">
      <c r="A127" s="77" t="s">
        <v>711</v>
      </c>
      <c r="B127" s="29">
        <v>1</v>
      </c>
      <c r="C127" s="30" t="s">
        <v>183</v>
      </c>
      <c r="D127" s="30" t="s">
        <v>182</v>
      </c>
      <c r="E127" s="12"/>
      <c r="F127" s="74"/>
      <c r="G127" s="74"/>
      <c r="H127" s="31" t="str">
        <f>IF(OR(E127="",F127="",G127=""),"",E127+F127+G127)</f>
        <v/>
      </c>
      <c r="I127" s="96" t="b">
        <v>0</v>
      </c>
    </row>
    <row r="128" spans="1:9" ht="15" customHeight="1" x14ac:dyDescent="0.3">
      <c r="A128" s="78"/>
      <c r="B128" s="32">
        <v>2</v>
      </c>
      <c r="C128" s="33" t="s">
        <v>718</v>
      </c>
      <c r="D128" s="33" t="s">
        <v>519</v>
      </c>
      <c r="E128" s="19"/>
      <c r="F128" s="75"/>
      <c r="G128" s="75"/>
      <c r="H128" s="35" t="str">
        <f>IF(OR(E128="",F127="",G127=""),"",E128+F127+G127)</f>
        <v/>
      </c>
      <c r="I128" s="96" t="b">
        <v>0</v>
      </c>
    </row>
    <row r="129" spans="1:9" ht="15" customHeight="1" x14ac:dyDescent="0.3">
      <c r="A129" s="78"/>
      <c r="B129" s="32">
        <v>3</v>
      </c>
      <c r="C129" s="33" t="s">
        <v>723</v>
      </c>
      <c r="D129" s="33" t="s">
        <v>725</v>
      </c>
      <c r="E129" s="19"/>
      <c r="F129" s="75"/>
      <c r="G129" s="75"/>
      <c r="H129" s="35" t="str">
        <f>IF(OR(E129="",F127="",G127=""),"",E129+F127+G127)</f>
        <v/>
      </c>
      <c r="I129" s="96" t="b">
        <v>0</v>
      </c>
    </row>
    <row r="130" spans="1:9" ht="15" customHeight="1" x14ac:dyDescent="0.3">
      <c r="A130" s="78"/>
      <c r="B130" s="32">
        <v>4</v>
      </c>
      <c r="C130" s="33" t="s">
        <v>726</v>
      </c>
      <c r="D130" s="33" t="s">
        <v>727</v>
      </c>
      <c r="E130" s="19"/>
      <c r="F130" s="75"/>
      <c r="G130" s="75"/>
      <c r="H130" s="35" t="str">
        <f>IF(OR(E130="",F127="",G127=""),"",E130+F127+G127)</f>
        <v/>
      </c>
      <c r="I130" s="96" t="b">
        <v>0</v>
      </c>
    </row>
    <row r="131" spans="1:9" ht="15" customHeight="1" thickBot="1" x14ac:dyDescent="0.35">
      <c r="A131" s="79"/>
      <c r="B131" s="40">
        <v>5</v>
      </c>
      <c r="C131" s="41" t="s">
        <v>729</v>
      </c>
      <c r="D131" s="41" t="s">
        <v>467</v>
      </c>
      <c r="E131" s="26"/>
      <c r="F131" s="76"/>
      <c r="G131" s="76"/>
      <c r="H131" s="43" t="str">
        <f>IF(OR(E131="",F127="",G127=""),"",E131+F127+G127)</f>
        <v/>
      </c>
      <c r="I131" s="96" t="b">
        <v>0</v>
      </c>
    </row>
    <row r="132" spans="1:9" ht="15" customHeight="1" x14ac:dyDescent="0.3">
      <c r="A132" s="80" t="s">
        <v>733</v>
      </c>
      <c r="B132" s="9">
        <v>1</v>
      </c>
      <c r="C132" s="11" t="s">
        <v>734</v>
      </c>
      <c r="D132" s="11" t="s">
        <v>191</v>
      </c>
      <c r="E132" s="12"/>
      <c r="F132" s="74"/>
      <c r="G132" s="74"/>
      <c r="H132" s="15" t="str">
        <f>IF(OR(E132="",F132="",G132=""),"",E132+F132+G132)</f>
        <v/>
      </c>
      <c r="I132" s="96" t="b">
        <v>0</v>
      </c>
    </row>
    <row r="133" spans="1:9" ht="15" customHeight="1" x14ac:dyDescent="0.3">
      <c r="A133" s="78"/>
      <c r="B133" s="17">
        <v>2</v>
      </c>
      <c r="C133" s="18" t="s">
        <v>737</v>
      </c>
      <c r="D133" s="18" t="s">
        <v>202</v>
      </c>
      <c r="E133" s="19"/>
      <c r="F133" s="75"/>
      <c r="G133" s="75"/>
      <c r="H133" s="20" t="str">
        <f>IF(OR(E133="",F132="",G132=""),"",E133+F132+G132)</f>
        <v/>
      </c>
      <c r="I133" s="96" t="b">
        <v>0</v>
      </c>
    </row>
    <row r="134" spans="1:9" ht="15" customHeight="1" x14ac:dyDescent="0.3">
      <c r="A134" s="78"/>
      <c r="B134" s="17">
        <v>3</v>
      </c>
      <c r="C134" s="18" t="s">
        <v>738</v>
      </c>
      <c r="D134" s="18" t="s">
        <v>739</v>
      </c>
      <c r="E134" s="19"/>
      <c r="F134" s="75"/>
      <c r="G134" s="75"/>
      <c r="H134" s="20" t="str">
        <f>IF(OR(E134="",F132="",G132=""),"",E134+F132+G132)</f>
        <v/>
      </c>
      <c r="I134" s="96" t="b">
        <v>0</v>
      </c>
    </row>
    <row r="135" spans="1:9" ht="15" customHeight="1" x14ac:dyDescent="0.3">
      <c r="A135" s="78"/>
      <c r="B135" s="17">
        <v>4</v>
      </c>
      <c r="C135" s="18" t="s">
        <v>398</v>
      </c>
      <c r="D135" s="18" t="s">
        <v>397</v>
      </c>
      <c r="E135" s="19"/>
      <c r="F135" s="75"/>
      <c r="G135" s="75"/>
      <c r="H135" s="20" t="str">
        <f>IF(OR(E135="",F132="",G132=""),"",E135+F132+G132)</f>
        <v/>
      </c>
      <c r="I135" s="96" t="b">
        <v>0</v>
      </c>
    </row>
    <row r="136" spans="1:9" ht="15" customHeight="1" thickBot="1" x14ac:dyDescent="0.35">
      <c r="A136" s="79"/>
      <c r="B136" s="24">
        <v>5</v>
      </c>
      <c r="C136" s="25" t="s">
        <v>742</v>
      </c>
      <c r="D136" s="25" t="s">
        <v>743</v>
      </c>
      <c r="E136" s="26"/>
      <c r="F136" s="76"/>
      <c r="G136" s="76"/>
      <c r="H136" s="28" t="str">
        <f>IF(OR(E136="",F132="",G132=""),"",E136+F132+G132)</f>
        <v/>
      </c>
      <c r="I136" s="96" t="b">
        <v>0</v>
      </c>
    </row>
    <row r="137" spans="1:9" ht="15" customHeight="1" x14ac:dyDescent="0.3">
      <c r="A137" s="77" t="s">
        <v>744</v>
      </c>
      <c r="B137" s="29">
        <v>1</v>
      </c>
      <c r="C137" s="30" t="s">
        <v>745</v>
      </c>
      <c r="D137" s="30" t="s">
        <v>746</v>
      </c>
      <c r="E137" s="12"/>
      <c r="F137" s="74"/>
      <c r="G137" s="74"/>
      <c r="H137" s="31" t="str">
        <f>IF(OR(E137="",F137="",G137=""),"",E137+F137+G137)</f>
        <v/>
      </c>
      <c r="I137" s="96" t="b">
        <v>0</v>
      </c>
    </row>
    <row r="138" spans="1:9" ht="15" customHeight="1" x14ac:dyDescent="0.3">
      <c r="A138" s="78"/>
      <c r="B138" s="32">
        <v>2</v>
      </c>
      <c r="C138" s="33" t="s">
        <v>747</v>
      </c>
      <c r="D138" s="33" t="s">
        <v>665</v>
      </c>
      <c r="E138" s="19"/>
      <c r="F138" s="75"/>
      <c r="G138" s="75"/>
      <c r="H138" s="35" t="str">
        <f>IF(OR(E138="",F137="",G137=""),"",E138+F137+G137)</f>
        <v/>
      </c>
      <c r="I138" s="96" t="b">
        <v>0</v>
      </c>
    </row>
    <row r="139" spans="1:9" ht="15" customHeight="1" x14ac:dyDescent="0.3">
      <c r="A139" s="78"/>
      <c r="B139" s="32">
        <v>3</v>
      </c>
      <c r="C139" s="33" t="s">
        <v>750</v>
      </c>
      <c r="D139" s="33" t="s">
        <v>751</v>
      </c>
      <c r="E139" s="19"/>
      <c r="F139" s="75"/>
      <c r="G139" s="75"/>
      <c r="H139" s="35" t="str">
        <f>IF(OR(E139="",F137="",G137=""),"",E139+F137+G137)</f>
        <v/>
      </c>
      <c r="I139" s="96" t="b">
        <v>0</v>
      </c>
    </row>
    <row r="140" spans="1:9" ht="15" customHeight="1" x14ac:dyDescent="0.3">
      <c r="A140" s="78"/>
      <c r="B140" s="32">
        <v>4</v>
      </c>
      <c r="C140" s="33" t="s">
        <v>752</v>
      </c>
      <c r="D140" s="33" t="s">
        <v>753</v>
      </c>
      <c r="E140" s="19"/>
      <c r="F140" s="75"/>
      <c r="G140" s="75"/>
      <c r="H140" s="35" t="str">
        <f>IF(OR(E140="",F137="",G137=""),"",E140+F137+G137)</f>
        <v/>
      </c>
      <c r="I140" s="96" t="b">
        <v>0</v>
      </c>
    </row>
    <row r="141" spans="1:9" ht="15" customHeight="1" thickBot="1" x14ac:dyDescent="0.35">
      <c r="A141" s="79"/>
      <c r="B141" s="40">
        <v>5</v>
      </c>
      <c r="C141" s="41" t="s">
        <v>754</v>
      </c>
      <c r="D141" s="41" t="s">
        <v>755</v>
      </c>
      <c r="E141" s="26"/>
      <c r="F141" s="76"/>
      <c r="G141" s="76"/>
      <c r="H141" s="43" t="str">
        <f>IF(OR(E141="",F137="",G137=""),"",E141+F137+G137)</f>
        <v/>
      </c>
      <c r="I141" s="96" t="b">
        <v>0</v>
      </c>
    </row>
    <row r="142" spans="1:9" ht="15" customHeight="1" x14ac:dyDescent="0.3">
      <c r="A142" s="80" t="s">
        <v>756</v>
      </c>
      <c r="B142" s="9">
        <v>1</v>
      </c>
      <c r="C142" s="11" t="s">
        <v>757</v>
      </c>
      <c r="D142" s="11" t="s">
        <v>758</v>
      </c>
      <c r="E142" s="12"/>
      <c r="F142" s="74"/>
      <c r="G142" s="74"/>
      <c r="H142" s="15" t="str">
        <f>IF(OR(E142="",F142="",G142=""),"",E142+F142+G142)</f>
        <v/>
      </c>
      <c r="I142" s="96" t="b">
        <v>0</v>
      </c>
    </row>
    <row r="143" spans="1:9" ht="15" customHeight="1" x14ac:dyDescent="0.3">
      <c r="A143" s="78"/>
      <c r="B143" s="17">
        <v>2</v>
      </c>
      <c r="C143" s="18" t="s">
        <v>762</v>
      </c>
      <c r="D143" s="18" t="s">
        <v>763</v>
      </c>
      <c r="E143" s="19"/>
      <c r="F143" s="75"/>
      <c r="G143" s="75"/>
      <c r="H143" s="20" t="str">
        <f>IF(OR(E143="",F142="",G142=""),"",E143+F142+G142)</f>
        <v/>
      </c>
      <c r="I143" s="96" t="b">
        <v>0</v>
      </c>
    </row>
    <row r="144" spans="1:9" ht="15" customHeight="1" x14ac:dyDescent="0.3">
      <c r="A144" s="78"/>
      <c r="B144" s="17">
        <v>3</v>
      </c>
      <c r="C144" s="18" t="s">
        <v>764</v>
      </c>
      <c r="D144" s="18" t="s">
        <v>224</v>
      </c>
      <c r="E144" s="19"/>
      <c r="F144" s="75"/>
      <c r="G144" s="75"/>
      <c r="H144" s="20" t="str">
        <f>IF(OR(E144="",F142="",G142=""),"",E144+F142+G142)</f>
        <v/>
      </c>
      <c r="I144" s="96" t="b">
        <v>0</v>
      </c>
    </row>
    <row r="145" spans="1:9" ht="15" customHeight="1" x14ac:dyDescent="0.3">
      <c r="A145" s="78"/>
      <c r="B145" s="17">
        <v>4</v>
      </c>
      <c r="C145" s="18" t="s">
        <v>765</v>
      </c>
      <c r="D145" s="18" t="s">
        <v>766</v>
      </c>
      <c r="E145" s="19"/>
      <c r="F145" s="75"/>
      <c r="G145" s="75"/>
      <c r="H145" s="20" t="str">
        <f>IF(OR(E145="",F142="",G142=""),"",E145+F142+G142)</f>
        <v/>
      </c>
      <c r="I145" s="96" t="b">
        <v>0</v>
      </c>
    </row>
    <row r="146" spans="1:9" ht="15" customHeight="1" thickBot="1" x14ac:dyDescent="0.35">
      <c r="A146" s="79"/>
      <c r="B146" s="24">
        <v>5</v>
      </c>
      <c r="C146" s="25" t="s">
        <v>767</v>
      </c>
      <c r="D146" s="25" t="s">
        <v>768</v>
      </c>
      <c r="E146" s="26"/>
      <c r="F146" s="76"/>
      <c r="G146" s="76"/>
      <c r="H146" s="28" t="str">
        <f>IF(OR(E146="",F142="",G142=""),"",E146+F142+G142)</f>
        <v/>
      </c>
      <c r="I146" s="96" t="b">
        <v>0</v>
      </c>
    </row>
    <row r="147" spans="1:9" ht="15" customHeight="1" x14ac:dyDescent="0.3">
      <c r="A147" s="77" t="s">
        <v>769</v>
      </c>
      <c r="B147" s="29">
        <v>1</v>
      </c>
      <c r="C147" s="30" t="s">
        <v>477</v>
      </c>
      <c r="D147" s="30" t="s">
        <v>475</v>
      </c>
      <c r="E147" s="12"/>
      <c r="F147" s="74"/>
      <c r="G147" s="74"/>
      <c r="H147" s="31" t="str">
        <f>IF(OR(E147="",F147="",G147=""),"",E147+F147+G147)</f>
        <v/>
      </c>
      <c r="I147" s="96" t="b">
        <v>0</v>
      </c>
    </row>
    <row r="148" spans="1:9" ht="15" customHeight="1" x14ac:dyDescent="0.3">
      <c r="A148" s="78"/>
      <c r="B148" s="32">
        <v>2</v>
      </c>
      <c r="C148" s="33" t="s">
        <v>770</v>
      </c>
      <c r="D148" s="33" t="s">
        <v>415</v>
      </c>
      <c r="E148" s="19"/>
      <c r="F148" s="75"/>
      <c r="G148" s="75"/>
      <c r="H148" s="35" t="str">
        <f>IF(OR(E148="",F147="",G147=""),"",E148+F147+G147)</f>
        <v/>
      </c>
      <c r="I148" s="96" t="b">
        <v>0</v>
      </c>
    </row>
    <row r="149" spans="1:9" ht="15" customHeight="1" x14ac:dyDescent="0.3">
      <c r="A149" s="78"/>
      <c r="B149" s="32">
        <v>3</v>
      </c>
      <c r="C149" s="33" t="s">
        <v>771</v>
      </c>
      <c r="D149" s="33" t="s">
        <v>772</v>
      </c>
      <c r="E149" s="19"/>
      <c r="F149" s="75"/>
      <c r="G149" s="75"/>
      <c r="H149" s="35" t="str">
        <f>IF(OR(E149="",F147="",G147=""),"",E149+F147+G147)</f>
        <v/>
      </c>
      <c r="I149" s="96" t="b">
        <v>0</v>
      </c>
    </row>
    <row r="150" spans="1:9" ht="15" customHeight="1" x14ac:dyDescent="0.3">
      <c r="A150" s="78"/>
      <c r="B150" s="32">
        <v>4</v>
      </c>
      <c r="C150" s="33" t="s">
        <v>773</v>
      </c>
      <c r="D150" s="33" t="s">
        <v>774</v>
      </c>
      <c r="E150" s="19"/>
      <c r="F150" s="75"/>
      <c r="G150" s="75"/>
      <c r="H150" s="35" t="str">
        <f>IF(OR(E150="",F147="",G147=""),"",E150+F147+G147)</f>
        <v/>
      </c>
      <c r="I150" s="96" t="b">
        <v>0</v>
      </c>
    </row>
    <row r="151" spans="1:9" ht="15" customHeight="1" thickBot="1" x14ac:dyDescent="0.35">
      <c r="A151" s="79"/>
      <c r="B151" s="40">
        <v>5</v>
      </c>
      <c r="C151" s="41" t="s">
        <v>591</v>
      </c>
      <c r="D151" s="41" t="s">
        <v>590</v>
      </c>
      <c r="E151" s="26"/>
      <c r="F151" s="76"/>
      <c r="G151" s="76"/>
      <c r="H151" s="43" t="str">
        <f>IF(OR(E151="",F147="",G147=""),"",E151+F147+G147)</f>
        <v/>
      </c>
      <c r="I151" s="96" t="b">
        <v>0</v>
      </c>
    </row>
    <row r="152" spans="1:9" ht="15" customHeight="1" x14ac:dyDescent="0.3">
      <c r="A152" s="80" t="s">
        <v>775</v>
      </c>
      <c r="B152" s="9">
        <v>1</v>
      </c>
      <c r="C152" s="11" t="s">
        <v>776</v>
      </c>
      <c r="D152" s="11" t="s">
        <v>629</v>
      </c>
      <c r="E152" s="12"/>
      <c r="F152" s="74"/>
      <c r="G152" s="74"/>
      <c r="H152" s="15" t="str">
        <f>IF(OR(E152="",F152="",G152=""),"",E152+F152+G152)</f>
        <v/>
      </c>
      <c r="I152" s="96" t="b">
        <v>0</v>
      </c>
    </row>
    <row r="153" spans="1:9" ht="15" customHeight="1" x14ac:dyDescent="0.3">
      <c r="A153" s="78"/>
      <c r="B153" s="17">
        <v>2</v>
      </c>
      <c r="C153" s="18" t="s">
        <v>777</v>
      </c>
      <c r="D153" s="18" t="s">
        <v>778</v>
      </c>
      <c r="E153" s="19"/>
      <c r="F153" s="75"/>
      <c r="G153" s="75"/>
      <c r="H153" s="20" t="str">
        <f>IF(OR(E153="",F152="",G152=""),"",E153+F152+G152)</f>
        <v/>
      </c>
      <c r="I153" s="96" t="b">
        <v>0</v>
      </c>
    </row>
    <row r="154" spans="1:9" ht="15" customHeight="1" x14ac:dyDescent="0.3">
      <c r="A154" s="78"/>
      <c r="B154" s="17">
        <v>3</v>
      </c>
      <c r="C154" s="18" t="s">
        <v>779</v>
      </c>
      <c r="D154" s="18" t="s">
        <v>780</v>
      </c>
      <c r="E154" s="19"/>
      <c r="F154" s="75"/>
      <c r="G154" s="75"/>
      <c r="H154" s="20" t="str">
        <f>IF(OR(E154="",F152="",G152=""),"",E154+F152+G152)</f>
        <v/>
      </c>
      <c r="I154" s="96" t="b">
        <v>0</v>
      </c>
    </row>
    <row r="155" spans="1:9" ht="15" customHeight="1" x14ac:dyDescent="0.3">
      <c r="A155" s="78"/>
      <c r="B155" s="17">
        <v>4</v>
      </c>
      <c r="C155" s="18" t="s">
        <v>781</v>
      </c>
      <c r="D155" s="18" t="s">
        <v>782</v>
      </c>
      <c r="E155" s="19"/>
      <c r="F155" s="75"/>
      <c r="G155" s="75"/>
      <c r="H155" s="20" t="str">
        <f>IF(OR(E155="",F152="",G152=""),"",E155+F152+G152)</f>
        <v/>
      </c>
      <c r="I155" s="96" t="b">
        <v>0</v>
      </c>
    </row>
    <row r="156" spans="1:9" ht="15" customHeight="1" thickBot="1" x14ac:dyDescent="0.35">
      <c r="A156" s="79"/>
      <c r="B156" s="24">
        <v>5</v>
      </c>
      <c r="C156" s="25" t="s">
        <v>783</v>
      </c>
      <c r="D156" s="25" t="s">
        <v>784</v>
      </c>
      <c r="E156" s="26"/>
      <c r="F156" s="76"/>
      <c r="G156" s="76"/>
      <c r="H156" s="28" t="str">
        <f>IF(OR(E156="",F152="",G152=""),"",E156+F152+G152)</f>
        <v/>
      </c>
      <c r="I156" s="96" t="b">
        <v>0</v>
      </c>
    </row>
    <row r="157" spans="1:9" ht="15" customHeight="1" x14ac:dyDescent="0.3">
      <c r="A157" s="77" t="s">
        <v>785</v>
      </c>
      <c r="B157" s="29">
        <v>1</v>
      </c>
      <c r="C157" s="30" t="s">
        <v>786</v>
      </c>
      <c r="D157" s="30" t="s">
        <v>787</v>
      </c>
      <c r="E157" s="12"/>
      <c r="F157" s="74">
        <v>0</v>
      </c>
      <c r="G157" s="74">
        <v>0</v>
      </c>
      <c r="H157" s="31" t="str">
        <f>IF(OR(E157="",F157="",G157=""),"",E157+F157+G157)</f>
        <v/>
      </c>
      <c r="I157" s="96" t="b">
        <v>0</v>
      </c>
    </row>
    <row r="158" spans="1:9" ht="15" customHeight="1" x14ac:dyDescent="0.3">
      <c r="A158" s="78"/>
      <c r="B158" s="32">
        <v>2</v>
      </c>
      <c r="C158" s="33" t="s">
        <v>788</v>
      </c>
      <c r="D158" s="33" t="s">
        <v>789</v>
      </c>
      <c r="E158" s="19"/>
      <c r="F158" s="75"/>
      <c r="G158" s="75"/>
      <c r="H158" s="35" t="str">
        <f>IF(OR(E158="",F157="",G157=""),"",E158+F157+G157)</f>
        <v/>
      </c>
      <c r="I158" s="96" t="b">
        <v>0</v>
      </c>
    </row>
    <row r="159" spans="1:9" ht="15" customHeight="1" x14ac:dyDescent="0.3">
      <c r="A159" s="78"/>
      <c r="B159" s="32">
        <v>3</v>
      </c>
      <c r="C159" s="33" t="s">
        <v>790</v>
      </c>
      <c r="D159" s="33" t="s">
        <v>791</v>
      </c>
      <c r="E159" s="19"/>
      <c r="F159" s="75"/>
      <c r="G159" s="75"/>
      <c r="H159" s="35" t="str">
        <f>IF(OR(E159="",F157="",G157=""),"",E159+F157+G157)</f>
        <v/>
      </c>
      <c r="I159" s="96" t="b">
        <v>0</v>
      </c>
    </row>
    <row r="160" spans="1:9" ht="15" customHeight="1" x14ac:dyDescent="0.3">
      <c r="A160" s="78"/>
      <c r="B160" s="32">
        <v>4</v>
      </c>
      <c r="C160" s="33" t="s">
        <v>792</v>
      </c>
      <c r="D160" s="33" t="s">
        <v>512</v>
      </c>
      <c r="E160" s="19"/>
      <c r="F160" s="75"/>
      <c r="G160" s="75"/>
      <c r="H160" s="35" t="str">
        <f>IF(OR(E160="",F157="",G157=""),"",E160+F157+G157)</f>
        <v/>
      </c>
      <c r="I160" s="96" t="b">
        <v>0</v>
      </c>
    </row>
    <row r="161" spans="1:9" ht="15" customHeight="1" thickBot="1" x14ac:dyDescent="0.35">
      <c r="A161" s="79"/>
      <c r="B161" s="40">
        <v>5</v>
      </c>
      <c r="C161" s="41" t="s">
        <v>793</v>
      </c>
      <c r="D161" s="41" t="s">
        <v>794</v>
      </c>
      <c r="E161" s="26"/>
      <c r="F161" s="76"/>
      <c r="G161" s="76"/>
      <c r="H161" s="43" t="str">
        <f>IF(OR(E161="",F157="",G157=""),"",E161+F157+G157)</f>
        <v/>
      </c>
      <c r="I161" s="96" t="b">
        <v>0</v>
      </c>
    </row>
    <row r="162" spans="1:9" ht="15" customHeight="1" x14ac:dyDescent="0.3">
      <c r="A162" s="80" t="s">
        <v>795</v>
      </c>
      <c r="B162" s="9">
        <v>1</v>
      </c>
      <c r="C162" s="11" t="s">
        <v>796</v>
      </c>
      <c r="D162" s="11" t="s">
        <v>797</v>
      </c>
      <c r="E162" s="12"/>
      <c r="F162" s="74">
        <v>0</v>
      </c>
      <c r="G162" s="74">
        <v>0</v>
      </c>
      <c r="H162" s="15" t="str">
        <f>IF(OR(E162="",F162="",G162=""),"",E162+F162+G162)</f>
        <v/>
      </c>
      <c r="I162" s="96" t="b">
        <v>0</v>
      </c>
    </row>
    <row r="163" spans="1:9" ht="15" customHeight="1" x14ac:dyDescent="0.3">
      <c r="A163" s="78"/>
      <c r="B163" s="17">
        <v>2</v>
      </c>
      <c r="C163" s="18" t="s">
        <v>798</v>
      </c>
      <c r="D163" s="18" t="s">
        <v>799</v>
      </c>
      <c r="E163" s="19"/>
      <c r="F163" s="75"/>
      <c r="G163" s="75"/>
      <c r="H163" s="20" t="str">
        <f>IF(OR(E163="",F162="",G162=""),"",E163+F162+G162)</f>
        <v/>
      </c>
      <c r="I163" s="96" t="b">
        <v>0</v>
      </c>
    </row>
    <row r="164" spans="1:9" ht="15" customHeight="1" x14ac:dyDescent="0.3">
      <c r="A164" s="79"/>
      <c r="B164" s="24">
        <v>3</v>
      </c>
      <c r="C164" s="25" t="s">
        <v>800</v>
      </c>
      <c r="D164" s="25" t="s">
        <v>801</v>
      </c>
      <c r="E164" s="26"/>
      <c r="F164" s="76"/>
      <c r="G164" s="76"/>
      <c r="H164" s="28" t="str">
        <f>IF(OR(E164="",F162="",G162=""),"",E164+F162+G162)</f>
        <v/>
      </c>
      <c r="I164" s="96" t="b">
        <v>0</v>
      </c>
    </row>
    <row r="165" spans="1:9" ht="15.7" customHeight="1" x14ac:dyDescent="0.3">
      <c r="A165" s="2"/>
      <c r="B165" s="2"/>
      <c r="C165" s="2"/>
      <c r="D165" s="2"/>
      <c r="E165" s="2"/>
      <c r="F165" s="2"/>
      <c r="G165" s="2"/>
      <c r="H165" s="2"/>
    </row>
    <row r="166" spans="1:9" ht="15.7" customHeight="1" x14ac:dyDescent="0.3">
      <c r="A166" s="2"/>
      <c r="B166" s="2"/>
      <c r="C166" s="2"/>
      <c r="D166" s="2"/>
      <c r="E166" s="2"/>
      <c r="F166" s="2"/>
      <c r="G166" s="2"/>
      <c r="H166" s="2"/>
    </row>
    <row r="167" spans="1:9" ht="15.7" customHeight="1" x14ac:dyDescent="0.3">
      <c r="A167" s="2"/>
      <c r="B167" s="2"/>
      <c r="C167" s="2"/>
      <c r="D167" s="2"/>
      <c r="E167" s="2"/>
      <c r="F167" s="2"/>
      <c r="G167" s="2"/>
      <c r="H167" s="2"/>
    </row>
    <row r="168" spans="1:9" ht="15.7" customHeight="1" x14ac:dyDescent="0.3">
      <c r="A168" s="2"/>
      <c r="B168" s="2"/>
      <c r="C168" s="2"/>
      <c r="D168" s="2"/>
      <c r="E168" s="2"/>
      <c r="F168" s="2"/>
      <c r="G168" s="2"/>
      <c r="H168" s="2"/>
    </row>
    <row r="169" spans="1:9" ht="15.7" customHeight="1" x14ac:dyDescent="0.3">
      <c r="A169" s="2"/>
      <c r="B169" s="2"/>
      <c r="C169" s="2"/>
      <c r="D169" s="2"/>
      <c r="E169" s="2"/>
      <c r="F169" s="2"/>
      <c r="G169" s="2"/>
      <c r="H169" s="2"/>
    </row>
    <row r="170" spans="1:9" ht="15.7" customHeight="1" x14ac:dyDescent="0.3">
      <c r="A170" s="2"/>
      <c r="B170" s="2"/>
      <c r="C170" s="2"/>
      <c r="D170" s="2"/>
      <c r="E170" s="2"/>
      <c r="F170" s="2"/>
      <c r="G170" s="2"/>
      <c r="H170" s="2"/>
    </row>
    <row r="171" spans="1:9" ht="15.7" customHeight="1" x14ac:dyDescent="0.3">
      <c r="A171" s="2"/>
      <c r="B171" s="2"/>
      <c r="C171" s="2"/>
      <c r="D171" s="2"/>
      <c r="E171" s="2"/>
      <c r="F171" s="2"/>
      <c r="G171" s="2"/>
      <c r="H171" s="2"/>
    </row>
    <row r="172" spans="1:9" ht="15.7" customHeight="1" x14ac:dyDescent="0.3">
      <c r="A172" s="2"/>
      <c r="B172" s="2"/>
      <c r="C172" s="2"/>
      <c r="D172" s="2"/>
      <c r="E172" s="2"/>
      <c r="F172" s="2"/>
      <c r="G172" s="2"/>
      <c r="H172" s="2"/>
    </row>
    <row r="173" spans="1:9" ht="15.7" customHeight="1" x14ac:dyDescent="0.3">
      <c r="A173" s="2"/>
      <c r="B173" s="2"/>
      <c r="C173" s="2"/>
      <c r="D173" s="2"/>
      <c r="E173" s="2"/>
      <c r="F173" s="2"/>
      <c r="G173" s="2"/>
      <c r="H173" s="2"/>
    </row>
    <row r="174" spans="1:9" ht="15.7" customHeight="1" x14ac:dyDescent="0.3">
      <c r="A174" s="2"/>
      <c r="B174" s="2"/>
      <c r="C174" s="2"/>
      <c r="D174" s="2"/>
      <c r="E174" s="2"/>
      <c r="F174" s="2"/>
      <c r="G174" s="2"/>
      <c r="H174" s="2"/>
    </row>
    <row r="175" spans="1:9" ht="15.7" customHeight="1" x14ac:dyDescent="0.3">
      <c r="A175" s="2"/>
      <c r="B175" s="2"/>
      <c r="C175" s="2"/>
      <c r="D175" s="2"/>
      <c r="E175" s="2"/>
      <c r="F175" s="2"/>
      <c r="G175" s="2"/>
      <c r="H175" s="2"/>
    </row>
    <row r="176" spans="1:9" ht="15.7" customHeight="1" x14ac:dyDescent="0.3">
      <c r="A176" s="2"/>
      <c r="B176" s="2"/>
      <c r="C176" s="2"/>
      <c r="D176" s="2"/>
      <c r="E176" s="2"/>
      <c r="F176" s="2"/>
      <c r="G176" s="2"/>
      <c r="H176" s="2"/>
    </row>
    <row r="177" spans="1:8" ht="15.7" customHeight="1" x14ac:dyDescent="0.3">
      <c r="A177" s="2"/>
      <c r="B177" s="2"/>
      <c r="C177" s="2"/>
      <c r="D177" s="2"/>
      <c r="E177" s="2"/>
      <c r="F177" s="2"/>
      <c r="G177" s="2"/>
      <c r="H177" s="2"/>
    </row>
    <row r="178" spans="1:8" ht="15.7" customHeight="1" x14ac:dyDescent="0.3">
      <c r="A178" s="2"/>
      <c r="B178" s="2"/>
      <c r="C178" s="2"/>
      <c r="D178" s="2"/>
      <c r="E178" s="2"/>
      <c r="F178" s="2"/>
      <c r="G178" s="2"/>
      <c r="H178" s="2"/>
    </row>
    <row r="179" spans="1:8" ht="15.7" customHeight="1" x14ac:dyDescent="0.3">
      <c r="A179" s="2"/>
      <c r="B179" s="2"/>
      <c r="C179" s="2"/>
      <c r="D179" s="2"/>
      <c r="E179" s="2"/>
      <c r="F179" s="2"/>
      <c r="G179" s="2"/>
      <c r="H179" s="2"/>
    </row>
    <row r="180" spans="1:8" ht="15.7" customHeight="1" x14ac:dyDescent="0.3">
      <c r="A180" s="2"/>
      <c r="B180" s="2"/>
      <c r="C180" s="2"/>
      <c r="D180" s="2"/>
      <c r="E180" s="2"/>
      <c r="F180" s="2"/>
      <c r="G180" s="2"/>
      <c r="H180" s="2"/>
    </row>
    <row r="181" spans="1:8" ht="15.7" customHeight="1" x14ac:dyDescent="0.3">
      <c r="A181" s="2"/>
      <c r="B181" s="2"/>
      <c r="C181" s="2"/>
      <c r="D181" s="2"/>
      <c r="E181" s="2"/>
      <c r="F181" s="2"/>
      <c r="G181" s="2"/>
      <c r="H181" s="2"/>
    </row>
    <row r="182" spans="1:8" ht="15.7" customHeight="1" x14ac:dyDescent="0.3">
      <c r="A182" s="2"/>
      <c r="B182" s="2"/>
      <c r="C182" s="2"/>
      <c r="D182" s="2"/>
      <c r="E182" s="2"/>
      <c r="F182" s="2"/>
      <c r="G182" s="2"/>
      <c r="H182" s="2"/>
    </row>
    <row r="183" spans="1:8" ht="15.7" customHeight="1" x14ac:dyDescent="0.3">
      <c r="A183" s="2"/>
      <c r="B183" s="2"/>
      <c r="C183" s="2"/>
      <c r="D183" s="2"/>
      <c r="E183" s="2"/>
      <c r="F183" s="2"/>
      <c r="G183" s="2"/>
      <c r="H183" s="2"/>
    </row>
    <row r="184" spans="1:8" ht="15.7" customHeight="1" x14ac:dyDescent="0.3">
      <c r="A184" s="2"/>
      <c r="B184" s="2"/>
      <c r="C184" s="2"/>
      <c r="D184" s="2"/>
      <c r="E184" s="2"/>
      <c r="F184" s="2"/>
      <c r="G184" s="2"/>
      <c r="H184" s="2"/>
    </row>
    <row r="185" spans="1:8" ht="15.7" customHeight="1" x14ac:dyDescent="0.3">
      <c r="A185" s="2"/>
      <c r="B185" s="2"/>
      <c r="C185" s="2"/>
      <c r="D185" s="2"/>
      <c r="E185" s="2"/>
      <c r="F185" s="2"/>
      <c r="G185" s="2"/>
      <c r="H185" s="2"/>
    </row>
    <row r="186" spans="1:8" ht="15.7" customHeight="1" x14ac:dyDescent="0.3">
      <c r="A186" s="2"/>
      <c r="B186" s="2"/>
      <c r="C186" s="2"/>
      <c r="D186" s="2"/>
      <c r="E186" s="2"/>
      <c r="F186" s="2"/>
      <c r="G186" s="2"/>
      <c r="H186" s="2"/>
    </row>
    <row r="187" spans="1:8" ht="15.7" customHeight="1" x14ac:dyDescent="0.3">
      <c r="A187" s="2"/>
      <c r="B187" s="2"/>
      <c r="C187" s="2"/>
      <c r="D187" s="2"/>
      <c r="E187" s="2"/>
      <c r="F187" s="2"/>
      <c r="G187" s="2"/>
      <c r="H187" s="2"/>
    </row>
    <row r="188" spans="1:8" ht="15.7" customHeight="1" x14ac:dyDescent="0.3">
      <c r="A188" s="2"/>
      <c r="B188" s="2"/>
      <c r="C188" s="2"/>
      <c r="D188" s="2"/>
      <c r="E188" s="2"/>
      <c r="F188" s="2"/>
      <c r="G188" s="2"/>
      <c r="H188" s="2"/>
    </row>
    <row r="189" spans="1:8" ht="15.7" customHeight="1" x14ac:dyDescent="0.3">
      <c r="A189" s="2"/>
      <c r="B189" s="2"/>
      <c r="C189" s="2"/>
      <c r="D189" s="2"/>
      <c r="E189" s="2"/>
      <c r="F189" s="2"/>
      <c r="G189" s="2"/>
      <c r="H189" s="2"/>
    </row>
    <row r="190" spans="1:8" ht="15.7" customHeight="1" x14ac:dyDescent="0.3">
      <c r="A190" s="2"/>
      <c r="B190" s="2"/>
      <c r="C190" s="2"/>
      <c r="D190" s="2"/>
      <c r="E190" s="2"/>
      <c r="F190" s="2"/>
      <c r="G190" s="2"/>
      <c r="H190" s="2"/>
    </row>
    <row r="191" spans="1:8" ht="15.7" customHeight="1" x14ac:dyDescent="0.3">
      <c r="A191" s="2"/>
      <c r="B191" s="2"/>
      <c r="C191" s="2"/>
      <c r="D191" s="2"/>
      <c r="E191" s="2"/>
      <c r="F191" s="2"/>
      <c r="G191" s="2"/>
      <c r="H191" s="2"/>
    </row>
    <row r="192" spans="1:8" ht="15.7" customHeight="1" x14ac:dyDescent="0.3">
      <c r="A192" s="2"/>
      <c r="B192" s="2"/>
      <c r="C192" s="2"/>
      <c r="D192" s="2"/>
      <c r="E192" s="2"/>
      <c r="F192" s="2"/>
      <c r="G192" s="2"/>
      <c r="H192" s="2"/>
    </row>
    <row r="193" spans="1:8" ht="15.7" customHeight="1" x14ac:dyDescent="0.3">
      <c r="A193" s="2"/>
      <c r="B193" s="2"/>
      <c r="C193" s="2"/>
      <c r="D193" s="2"/>
      <c r="E193" s="2"/>
      <c r="F193" s="2"/>
      <c r="G193" s="2"/>
      <c r="H193" s="2"/>
    </row>
    <row r="194" spans="1:8" ht="15.7" customHeight="1" x14ac:dyDescent="0.3">
      <c r="A194" s="2"/>
      <c r="B194" s="2"/>
      <c r="C194" s="2"/>
      <c r="D194" s="2"/>
      <c r="E194" s="2"/>
      <c r="F194" s="2"/>
      <c r="G194" s="2"/>
      <c r="H194" s="2"/>
    </row>
    <row r="195" spans="1:8" ht="15.7" customHeight="1" x14ac:dyDescent="0.3">
      <c r="A195" s="2"/>
      <c r="B195" s="2"/>
      <c r="C195" s="2"/>
      <c r="D195" s="2"/>
      <c r="E195" s="2"/>
      <c r="F195" s="2"/>
      <c r="G195" s="2"/>
      <c r="H195" s="2"/>
    </row>
    <row r="196" spans="1:8" ht="15.7" customHeight="1" x14ac:dyDescent="0.3">
      <c r="A196" s="2"/>
      <c r="B196" s="2"/>
      <c r="C196" s="2"/>
      <c r="D196" s="2"/>
      <c r="E196" s="2"/>
      <c r="F196" s="2"/>
      <c r="G196" s="2"/>
      <c r="H196" s="2"/>
    </row>
    <row r="197" spans="1:8" ht="15.7" customHeight="1" x14ac:dyDescent="0.3">
      <c r="A197" s="2"/>
      <c r="B197" s="2"/>
      <c r="C197" s="2"/>
      <c r="D197" s="2"/>
      <c r="E197" s="2"/>
      <c r="F197" s="2"/>
      <c r="G197" s="2"/>
      <c r="H197" s="2"/>
    </row>
    <row r="198" spans="1:8" ht="15.7" customHeight="1" x14ac:dyDescent="0.3">
      <c r="A198" s="2"/>
      <c r="B198" s="2"/>
      <c r="C198" s="2"/>
      <c r="D198" s="2"/>
      <c r="E198" s="2"/>
      <c r="F198" s="2"/>
      <c r="G198" s="2"/>
      <c r="H198" s="2"/>
    </row>
    <row r="199" spans="1:8" ht="15.7" customHeight="1" x14ac:dyDescent="0.3">
      <c r="A199" s="2"/>
      <c r="B199" s="2"/>
      <c r="C199" s="2"/>
      <c r="D199" s="2"/>
      <c r="E199" s="2"/>
      <c r="F199" s="2"/>
      <c r="G199" s="2"/>
      <c r="H199" s="2"/>
    </row>
    <row r="200" spans="1:8" ht="15.7" customHeight="1" x14ac:dyDescent="0.3">
      <c r="A200" s="2"/>
      <c r="B200" s="2"/>
      <c r="C200" s="2"/>
      <c r="D200" s="2"/>
      <c r="E200" s="2"/>
      <c r="F200" s="2"/>
      <c r="G200" s="2"/>
      <c r="H200" s="2"/>
    </row>
    <row r="201" spans="1:8" ht="15.7" customHeight="1" x14ac:dyDescent="0.3">
      <c r="A201" s="2"/>
      <c r="B201" s="2"/>
      <c r="C201" s="2"/>
      <c r="D201" s="2"/>
      <c r="E201" s="2"/>
      <c r="F201" s="2"/>
      <c r="G201" s="2"/>
      <c r="H201" s="2"/>
    </row>
    <row r="202" spans="1:8" ht="15.7" customHeight="1" x14ac:dyDescent="0.3">
      <c r="A202" s="2"/>
      <c r="B202" s="2"/>
      <c r="C202" s="2"/>
      <c r="D202" s="2"/>
      <c r="E202" s="2"/>
      <c r="F202" s="2"/>
      <c r="G202" s="2"/>
      <c r="H202" s="2"/>
    </row>
    <row r="203" spans="1:8" ht="15.7" customHeight="1" x14ac:dyDescent="0.3">
      <c r="A203" s="2"/>
      <c r="B203" s="2"/>
      <c r="C203" s="2"/>
      <c r="D203" s="2"/>
      <c r="E203" s="2"/>
      <c r="F203" s="2"/>
      <c r="G203" s="2"/>
      <c r="H203" s="2"/>
    </row>
    <row r="204" spans="1:8" ht="15.7" customHeight="1" x14ac:dyDescent="0.3">
      <c r="A204" s="2"/>
      <c r="B204" s="2"/>
      <c r="C204" s="2"/>
      <c r="D204" s="2"/>
      <c r="E204" s="2"/>
      <c r="F204" s="2"/>
      <c r="G204" s="2"/>
      <c r="H204" s="2"/>
    </row>
    <row r="205" spans="1:8" ht="15.7" customHeight="1" x14ac:dyDescent="0.3">
      <c r="A205" s="2"/>
      <c r="B205" s="2"/>
      <c r="C205" s="2"/>
      <c r="D205" s="2"/>
      <c r="E205" s="2"/>
      <c r="F205" s="2"/>
      <c r="G205" s="2"/>
      <c r="H205" s="2"/>
    </row>
    <row r="206" spans="1:8" ht="15.7" customHeight="1" x14ac:dyDescent="0.3">
      <c r="A206" s="2"/>
      <c r="B206" s="2"/>
      <c r="C206" s="2"/>
      <c r="D206" s="2"/>
      <c r="E206" s="2"/>
      <c r="F206" s="2"/>
      <c r="G206" s="2"/>
      <c r="H206" s="2"/>
    </row>
    <row r="207" spans="1:8" ht="15.7" customHeight="1" x14ac:dyDescent="0.3">
      <c r="A207" s="2"/>
      <c r="B207" s="2"/>
      <c r="C207" s="2"/>
      <c r="D207" s="2"/>
      <c r="E207" s="2"/>
      <c r="F207" s="2"/>
      <c r="G207" s="2"/>
      <c r="H207" s="2"/>
    </row>
    <row r="208" spans="1:8" ht="15.7" customHeight="1" x14ac:dyDescent="0.3">
      <c r="A208" s="2"/>
      <c r="B208" s="2"/>
      <c r="C208" s="2"/>
      <c r="D208" s="2"/>
      <c r="E208" s="2"/>
      <c r="F208" s="2"/>
      <c r="G208" s="2"/>
      <c r="H208" s="2"/>
    </row>
    <row r="209" spans="1:8" ht="15.7" customHeight="1" x14ac:dyDescent="0.3">
      <c r="A209" s="2"/>
      <c r="B209" s="2"/>
      <c r="C209" s="2"/>
      <c r="D209" s="2"/>
      <c r="E209" s="2"/>
      <c r="F209" s="2"/>
      <c r="G209" s="2"/>
      <c r="H209" s="2"/>
    </row>
    <row r="210" spans="1:8" ht="15.7" customHeight="1" x14ac:dyDescent="0.3">
      <c r="A210" s="2"/>
      <c r="B210" s="2"/>
      <c r="C210" s="2"/>
      <c r="D210" s="2"/>
      <c r="E210" s="2"/>
      <c r="F210" s="2"/>
      <c r="G210" s="2"/>
      <c r="H210" s="2"/>
    </row>
    <row r="211" spans="1:8" ht="15.7" customHeight="1" x14ac:dyDescent="0.3">
      <c r="A211" s="2"/>
      <c r="B211" s="2"/>
      <c r="C211" s="2"/>
      <c r="D211" s="2"/>
      <c r="E211" s="2"/>
      <c r="F211" s="2"/>
      <c r="G211" s="2"/>
      <c r="H211" s="2"/>
    </row>
    <row r="212" spans="1:8" ht="15.7" customHeight="1" x14ac:dyDescent="0.3">
      <c r="A212" s="2"/>
      <c r="B212" s="2"/>
      <c r="C212" s="2"/>
      <c r="D212" s="2"/>
      <c r="E212" s="2"/>
      <c r="F212" s="2"/>
      <c r="G212" s="2"/>
      <c r="H212" s="2"/>
    </row>
    <row r="213" spans="1:8" ht="15.7" customHeight="1" x14ac:dyDescent="0.3">
      <c r="A213" s="2"/>
      <c r="B213" s="2"/>
      <c r="C213" s="2"/>
      <c r="D213" s="2"/>
      <c r="E213" s="2"/>
      <c r="F213" s="2"/>
      <c r="G213" s="2"/>
      <c r="H213" s="2"/>
    </row>
    <row r="214" spans="1:8" ht="15.7" customHeight="1" x14ac:dyDescent="0.3">
      <c r="A214" s="2"/>
      <c r="B214" s="2"/>
      <c r="C214" s="2"/>
      <c r="D214" s="2"/>
      <c r="E214" s="2"/>
      <c r="F214" s="2"/>
      <c r="G214" s="2"/>
      <c r="H214" s="2"/>
    </row>
    <row r="215" spans="1:8" ht="15.7" customHeight="1" x14ac:dyDescent="0.3">
      <c r="A215" s="2"/>
      <c r="B215" s="2"/>
      <c r="C215" s="2"/>
      <c r="D215" s="2"/>
      <c r="E215" s="2"/>
      <c r="F215" s="2"/>
      <c r="G215" s="2"/>
      <c r="H215" s="2"/>
    </row>
    <row r="216" spans="1:8" ht="15.7" customHeight="1" x14ac:dyDescent="0.3">
      <c r="A216" s="2"/>
      <c r="B216" s="2"/>
      <c r="C216" s="2"/>
      <c r="D216" s="2"/>
      <c r="E216" s="2"/>
      <c r="F216" s="2"/>
      <c r="G216" s="2"/>
      <c r="H216" s="2"/>
    </row>
    <row r="217" spans="1:8" ht="15.7" customHeight="1" x14ac:dyDescent="0.3">
      <c r="A217" s="2"/>
      <c r="B217" s="2"/>
      <c r="C217" s="2"/>
      <c r="D217" s="2"/>
      <c r="E217" s="2"/>
      <c r="F217" s="2"/>
      <c r="G217" s="2"/>
      <c r="H217" s="2"/>
    </row>
    <row r="218" spans="1:8" ht="15.7" customHeight="1" x14ac:dyDescent="0.3">
      <c r="A218" s="2"/>
      <c r="B218" s="2"/>
      <c r="C218" s="2"/>
      <c r="D218" s="2"/>
      <c r="E218" s="2"/>
      <c r="F218" s="2"/>
      <c r="G218" s="2"/>
      <c r="H218" s="2"/>
    </row>
    <row r="219" spans="1:8" ht="15.7" customHeight="1" x14ac:dyDescent="0.3">
      <c r="A219" s="2"/>
      <c r="B219" s="2"/>
      <c r="C219" s="2"/>
      <c r="D219" s="2"/>
      <c r="E219" s="2"/>
      <c r="F219" s="2"/>
      <c r="G219" s="2"/>
      <c r="H219" s="2"/>
    </row>
    <row r="220" spans="1:8" ht="15.7" customHeight="1" x14ac:dyDescent="0.3">
      <c r="A220" s="2"/>
      <c r="B220" s="2"/>
      <c r="C220" s="2"/>
      <c r="D220" s="2"/>
      <c r="E220" s="2"/>
      <c r="F220" s="2"/>
      <c r="G220" s="2"/>
      <c r="H220" s="2"/>
    </row>
    <row r="221" spans="1:8" ht="15.7" customHeight="1" x14ac:dyDescent="0.3">
      <c r="A221" s="2"/>
      <c r="B221" s="2"/>
      <c r="C221" s="2"/>
      <c r="D221" s="2"/>
      <c r="E221" s="2"/>
      <c r="F221" s="2"/>
      <c r="G221" s="2"/>
      <c r="H221" s="2"/>
    </row>
    <row r="222" spans="1:8" ht="15.7" customHeight="1" x14ac:dyDescent="0.3">
      <c r="A222" s="2"/>
      <c r="B222" s="2"/>
      <c r="C222" s="2"/>
      <c r="D222" s="2"/>
      <c r="E222" s="2"/>
      <c r="F222" s="2"/>
      <c r="G222" s="2"/>
      <c r="H222" s="2"/>
    </row>
    <row r="223" spans="1:8" ht="15.7" customHeight="1" x14ac:dyDescent="0.3">
      <c r="A223" s="2"/>
      <c r="B223" s="2"/>
      <c r="C223" s="2"/>
      <c r="D223" s="2"/>
      <c r="E223" s="2"/>
      <c r="F223" s="2"/>
      <c r="G223" s="2"/>
      <c r="H223" s="2"/>
    </row>
    <row r="224" spans="1:8" ht="15.7" customHeight="1" x14ac:dyDescent="0.3">
      <c r="A224" s="2"/>
      <c r="B224" s="2"/>
      <c r="C224" s="2"/>
      <c r="D224" s="2"/>
      <c r="E224" s="2"/>
      <c r="F224" s="2"/>
      <c r="G224" s="2"/>
      <c r="H224" s="2"/>
    </row>
    <row r="225" spans="1:8" ht="15.7" customHeight="1" x14ac:dyDescent="0.3">
      <c r="A225" s="2"/>
      <c r="B225" s="2"/>
      <c r="C225" s="2"/>
      <c r="D225" s="2"/>
      <c r="E225" s="2"/>
      <c r="F225" s="2"/>
      <c r="G225" s="2"/>
      <c r="H225" s="2"/>
    </row>
    <row r="226" spans="1:8" ht="15.7" customHeight="1" x14ac:dyDescent="0.3">
      <c r="A226" s="2"/>
      <c r="B226" s="2"/>
      <c r="C226" s="2"/>
      <c r="D226" s="2"/>
      <c r="E226" s="2"/>
      <c r="F226" s="2"/>
      <c r="G226" s="2"/>
      <c r="H226" s="2"/>
    </row>
    <row r="227" spans="1:8" ht="15.7" customHeight="1" x14ac:dyDescent="0.3">
      <c r="A227" s="2"/>
      <c r="B227" s="2"/>
      <c r="C227" s="2"/>
      <c r="D227" s="2"/>
      <c r="E227" s="2"/>
      <c r="F227" s="2"/>
      <c r="G227" s="2"/>
      <c r="H227" s="2"/>
    </row>
    <row r="228" spans="1:8" ht="15.7" customHeight="1" x14ac:dyDescent="0.3">
      <c r="A228" s="2"/>
      <c r="B228" s="2"/>
      <c r="C228" s="2"/>
      <c r="D228" s="2"/>
      <c r="E228" s="2"/>
      <c r="F228" s="2"/>
      <c r="G228" s="2"/>
      <c r="H228" s="2"/>
    </row>
    <row r="229" spans="1:8" ht="15.7" customHeight="1" x14ac:dyDescent="0.3">
      <c r="A229" s="2"/>
      <c r="B229" s="2"/>
      <c r="C229" s="2"/>
      <c r="D229" s="2"/>
      <c r="E229" s="2"/>
      <c r="F229" s="2"/>
      <c r="G229" s="2"/>
      <c r="H229" s="2"/>
    </row>
    <row r="230" spans="1:8" ht="15.7" customHeight="1" x14ac:dyDescent="0.3">
      <c r="A230" s="2"/>
      <c r="B230" s="2"/>
      <c r="C230" s="2"/>
      <c r="D230" s="2"/>
      <c r="E230" s="2"/>
      <c r="F230" s="2"/>
      <c r="G230" s="2"/>
      <c r="H230" s="2"/>
    </row>
    <row r="231" spans="1:8" ht="15.7" customHeight="1" x14ac:dyDescent="0.3">
      <c r="A231" s="2"/>
      <c r="B231" s="2"/>
      <c r="C231" s="2"/>
      <c r="D231" s="2"/>
      <c r="E231" s="2"/>
      <c r="F231" s="2"/>
      <c r="G231" s="2"/>
      <c r="H231" s="2"/>
    </row>
    <row r="232" spans="1:8" ht="15.7" customHeight="1" x14ac:dyDescent="0.3">
      <c r="A232" s="2"/>
      <c r="B232" s="2"/>
      <c r="C232" s="2"/>
      <c r="D232" s="2"/>
      <c r="E232" s="2"/>
      <c r="F232" s="2"/>
      <c r="G232" s="2"/>
      <c r="H232" s="2"/>
    </row>
    <row r="233" spans="1:8" ht="15.7" customHeight="1" x14ac:dyDescent="0.3">
      <c r="A233" s="2"/>
      <c r="B233" s="2"/>
      <c r="C233" s="2"/>
      <c r="D233" s="2"/>
      <c r="E233" s="2"/>
      <c r="F233" s="2"/>
      <c r="G233" s="2"/>
      <c r="H233" s="2"/>
    </row>
    <row r="234" spans="1:8" ht="15.7" customHeight="1" x14ac:dyDescent="0.3">
      <c r="A234" s="2"/>
      <c r="B234" s="2"/>
      <c r="C234" s="2"/>
      <c r="D234" s="2"/>
      <c r="E234" s="2"/>
      <c r="F234" s="2"/>
      <c r="G234" s="2"/>
      <c r="H234" s="2"/>
    </row>
    <row r="235" spans="1:8" ht="15.7" customHeight="1" x14ac:dyDescent="0.3">
      <c r="A235" s="2"/>
      <c r="B235" s="2"/>
      <c r="C235" s="2"/>
      <c r="D235" s="2"/>
      <c r="E235" s="2"/>
      <c r="F235" s="2"/>
      <c r="G235" s="2"/>
      <c r="H235" s="2"/>
    </row>
    <row r="236" spans="1:8" ht="15.7" customHeight="1" x14ac:dyDescent="0.3">
      <c r="A236" s="2"/>
      <c r="B236" s="2"/>
      <c r="C236" s="2"/>
      <c r="D236" s="2"/>
      <c r="E236" s="2"/>
      <c r="F236" s="2"/>
      <c r="G236" s="2"/>
      <c r="H236" s="2"/>
    </row>
    <row r="237" spans="1:8" ht="15.7" customHeight="1" x14ac:dyDescent="0.3">
      <c r="A237" s="2"/>
      <c r="B237" s="2"/>
      <c r="C237" s="2"/>
      <c r="D237" s="2"/>
      <c r="E237" s="2"/>
      <c r="F237" s="2"/>
      <c r="G237" s="2"/>
      <c r="H237" s="2"/>
    </row>
    <row r="238" spans="1:8" ht="15.7" customHeight="1" x14ac:dyDescent="0.3">
      <c r="A238" s="2"/>
      <c r="B238" s="2"/>
      <c r="C238" s="2"/>
      <c r="D238" s="2"/>
      <c r="E238" s="2"/>
      <c r="F238" s="2"/>
      <c r="G238" s="2"/>
      <c r="H238" s="2"/>
    </row>
    <row r="239" spans="1:8" ht="15.7" customHeight="1" x14ac:dyDescent="0.3">
      <c r="A239" s="2"/>
      <c r="B239" s="2"/>
      <c r="C239" s="2"/>
      <c r="D239" s="2"/>
      <c r="E239" s="2"/>
      <c r="F239" s="2"/>
      <c r="G239" s="2"/>
      <c r="H239" s="2"/>
    </row>
    <row r="240" spans="1:8" ht="15.7" customHeight="1" x14ac:dyDescent="0.3">
      <c r="A240" s="2"/>
      <c r="B240" s="2"/>
      <c r="C240" s="2"/>
      <c r="D240" s="2"/>
      <c r="E240" s="2"/>
      <c r="F240" s="2"/>
      <c r="G240" s="2"/>
      <c r="H240" s="2"/>
    </row>
    <row r="241" spans="1:8" ht="15.7" customHeight="1" x14ac:dyDescent="0.3">
      <c r="A241" s="2"/>
      <c r="B241" s="2"/>
      <c r="C241" s="2"/>
      <c r="D241" s="2"/>
      <c r="E241" s="2"/>
      <c r="F241" s="2"/>
      <c r="G241" s="2"/>
      <c r="H241" s="2"/>
    </row>
    <row r="242" spans="1:8" ht="15.7" customHeight="1" x14ac:dyDescent="0.3">
      <c r="A242" s="2"/>
      <c r="B242" s="2"/>
      <c r="C242" s="2"/>
      <c r="D242" s="2"/>
      <c r="E242" s="2"/>
      <c r="F242" s="2"/>
      <c r="G242" s="2"/>
      <c r="H242" s="2"/>
    </row>
    <row r="243" spans="1:8" ht="15.7" customHeight="1" x14ac:dyDescent="0.3">
      <c r="A243" s="2"/>
      <c r="B243" s="2"/>
      <c r="C243" s="2"/>
      <c r="D243" s="2"/>
      <c r="E243" s="2"/>
      <c r="F243" s="2"/>
      <c r="G243" s="2"/>
      <c r="H243" s="2"/>
    </row>
    <row r="244" spans="1:8" ht="15.7" customHeight="1" x14ac:dyDescent="0.3">
      <c r="A244" s="2"/>
      <c r="B244" s="2"/>
      <c r="C244" s="2"/>
      <c r="D244" s="2"/>
      <c r="E244" s="2"/>
      <c r="F244" s="2"/>
      <c r="G244" s="2"/>
      <c r="H244" s="2"/>
    </row>
    <row r="245" spans="1:8" ht="15.7" customHeight="1" x14ac:dyDescent="0.3">
      <c r="A245" s="2"/>
      <c r="B245" s="2"/>
      <c r="C245" s="2"/>
      <c r="D245" s="2"/>
      <c r="E245" s="2"/>
      <c r="F245" s="2"/>
      <c r="G245" s="2"/>
      <c r="H245" s="2"/>
    </row>
    <row r="246" spans="1:8" ht="15.7" customHeight="1" x14ac:dyDescent="0.3">
      <c r="A246" s="2"/>
      <c r="B246" s="2"/>
      <c r="C246" s="2"/>
      <c r="D246" s="2"/>
      <c r="E246" s="2"/>
      <c r="F246" s="2"/>
      <c r="G246" s="2"/>
      <c r="H246" s="2"/>
    </row>
    <row r="247" spans="1:8" ht="15.7" customHeight="1" x14ac:dyDescent="0.3">
      <c r="A247" s="2"/>
      <c r="B247" s="2"/>
      <c r="C247" s="2"/>
      <c r="D247" s="2"/>
      <c r="E247" s="2"/>
      <c r="F247" s="2"/>
      <c r="G247" s="2"/>
      <c r="H247" s="2"/>
    </row>
    <row r="248" spans="1:8" ht="15.7" customHeight="1" x14ac:dyDescent="0.3">
      <c r="A248" s="2"/>
      <c r="B248" s="2"/>
      <c r="C248" s="2"/>
      <c r="D248" s="2"/>
      <c r="E248" s="2"/>
      <c r="F248" s="2"/>
      <c r="G248" s="2"/>
      <c r="H248" s="2"/>
    </row>
    <row r="249" spans="1:8" ht="15.7" customHeight="1" x14ac:dyDescent="0.3">
      <c r="A249" s="2"/>
      <c r="B249" s="2"/>
      <c r="C249" s="2"/>
      <c r="D249" s="2"/>
      <c r="E249" s="2"/>
      <c r="F249" s="2"/>
      <c r="G249" s="2"/>
      <c r="H249" s="2"/>
    </row>
    <row r="250" spans="1:8" ht="15.7" customHeight="1" x14ac:dyDescent="0.3">
      <c r="A250" s="2"/>
      <c r="B250" s="2"/>
      <c r="C250" s="2"/>
      <c r="D250" s="2"/>
      <c r="E250" s="2"/>
      <c r="F250" s="2"/>
      <c r="G250" s="2"/>
      <c r="H250" s="2"/>
    </row>
    <row r="251" spans="1:8" ht="15.7" customHeight="1" x14ac:dyDescent="0.3">
      <c r="A251" s="2"/>
      <c r="B251" s="2"/>
      <c r="C251" s="2"/>
      <c r="D251" s="2"/>
      <c r="E251" s="2"/>
      <c r="F251" s="2"/>
      <c r="G251" s="2"/>
      <c r="H251" s="2"/>
    </row>
    <row r="252" spans="1:8" ht="15.7" customHeight="1" x14ac:dyDescent="0.3">
      <c r="A252" s="2"/>
      <c r="B252" s="2"/>
      <c r="C252" s="2"/>
      <c r="D252" s="2"/>
      <c r="E252" s="2"/>
      <c r="F252" s="2"/>
      <c r="G252" s="2"/>
      <c r="H252" s="2"/>
    </row>
    <row r="253" spans="1:8" ht="15.7" customHeight="1" x14ac:dyDescent="0.3">
      <c r="A253" s="2"/>
      <c r="B253" s="2"/>
      <c r="C253" s="2"/>
      <c r="D253" s="2"/>
      <c r="E253" s="2"/>
      <c r="F253" s="2"/>
      <c r="G253" s="2"/>
      <c r="H253" s="2"/>
    </row>
    <row r="254" spans="1:8" ht="15.7" customHeight="1" x14ac:dyDescent="0.3">
      <c r="A254" s="2"/>
      <c r="B254" s="2"/>
      <c r="C254" s="2"/>
      <c r="D254" s="2"/>
      <c r="E254" s="2"/>
      <c r="F254" s="2"/>
      <c r="G254" s="2"/>
      <c r="H254" s="2"/>
    </row>
    <row r="255" spans="1:8" ht="15.7" customHeight="1" x14ac:dyDescent="0.3">
      <c r="A255" s="2"/>
      <c r="B255" s="2"/>
      <c r="C255" s="2"/>
      <c r="D255" s="2"/>
      <c r="E255" s="2"/>
      <c r="F255" s="2"/>
      <c r="G255" s="2"/>
      <c r="H255" s="2"/>
    </row>
    <row r="256" spans="1:8" ht="15.7" customHeight="1" x14ac:dyDescent="0.3">
      <c r="A256" s="2"/>
      <c r="B256" s="2"/>
      <c r="C256" s="2"/>
      <c r="D256" s="2"/>
      <c r="E256" s="2"/>
      <c r="F256" s="2"/>
      <c r="G256" s="2"/>
      <c r="H256" s="2"/>
    </row>
    <row r="257" spans="1:8" ht="15.7" customHeight="1" x14ac:dyDescent="0.3">
      <c r="A257" s="2"/>
      <c r="B257" s="2"/>
      <c r="C257" s="2"/>
      <c r="D257" s="2"/>
      <c r="E257" s="2"/>
      <c r="F257" s="2"/>
      <c r="G257" s="2"/>
      <c r="H257" s="2"/>
    </row>
    <row r="258" spans="1:8" ht="15.7" customHeight="1" x14ac:dyDescent="0.3">
      <c r="A258" s="2"/>
      <c r="B258" s="2"/>
      <c r="C258" s="2"/>
      <c r="D258" s="2"/>
      <c r="E258" s="2"/>
      <c r="F258" s="2"/>
      <c r="G258" s="2"/>
      <c r="H258" s="2"/>
    </row>
    <row r="259" spans="1:8" ht="15.7" customHeight="1" x14ac:dyDescent="0.3">
      <c r="A259" s="2"/>
      <c r="B259" s="2"/>
      <c r="C259" s="2"/>
      <c r="D259" s="2"/>
      <c r="E259" s="2"/>
      <c r="F259" s="2"/>
      <c r="G259" s="2"/>
      <c r="H259" s="2"/>
    </row>
    <row r="260" spans="1:8" ht="15.7" customHeight="1" x14ac:dyDescent="0.3">
      <c r="A260" s="2"/>
      <c r="B260" s="2"/>
      <c r="C260" s="2"/>
      <c r="D260" s="2"/>
      <c r="E260" s="2"/>
      <c r="F260" s="2"/>
      <c r="G260" s="2"/>
      <c r="H260" s="2"/>
    </row>
    <row r="261" spans="1:8" ht="15.7" customHeight="1" x14ac:dyDescent="0.3">
      <c r="A261" s="2"/>
      <c r="B261" s="2"/>
      <c r="C261" s="2"/>
      <c r="D261" s="2"/>
      <c r="E261" s="2"/>
      <c r="F261" s="2"/>
      <c r="G261" s="2"/>
      <c r="H261" s="2"/>
    </row>
    <row r="262" spans="1:8" ht="15.7" customHeight="1" x14ac:dyDescent="0.3">
      <c r="A262" s="2"/>
      <c r="B262" s="2"/>
      <c r="C262" s="2"/>
      <c r="D262" s="2"/>
      <c r="E262" s="2"/>
      <c r="F262" s="2"/>
      <c r="G262" s="2"/>
      <c r="H262" s="2"/>
    </row>
    <row r="263" spans="1:8" ht="15.7" customHeight="1" x14ac:dyDescent="0.3">
      <c r="A263" s="2"/>
      <c r="B263" s="2"/>
      <c r="C263" s="2"/>
      <c r="D263" s="2"/>
      <c r="E263" s="2"/>
      <c r="F263" s="2"/>
      <c r="G263" s="2"/>
      <c r="H263" s="2"/>
    </row>
    <row r="264" spans="1:8" ht="15.7" customHeight="1" x14ac:dyDescent="0.3">
      <c r="A264" s="2"/>
      <c r="B264" s="2"/>
      <c r="C264" s="2"/>
      <c r="D264" s="2"/>
      <c r="E264" s="2"/>
      <c r="F264" s="2"/>
      <c r="G264" s="2"/>
      <c r="H264" s="2"/>
    </row>
    <row r="265" spans="1:8" ht="15.7" customHeight="1" x14ac:dyDescent="0.3">
      <c r="A265" s="2"/>
      <c r="B265" s="2"/>
      <c r="C265" s="2"/>
      <c r="D265" s="2"/>
      <c r="E265" s="2"/>
      <c r="F265" s="2"/>
      <c r="G265" s="2"/>
      <c r="H265" s="2"/>
    </row>
    <row r="266" spans="1:8" ht="15.7" customHeight="1" x14ac:dyDescent="0.3">
      <c r="A266" s="2"/>
      <c r="B266" s="2"/>
      <c r="C266" s="2"/>
      <c r="D266" s="2"/>
      <c r="E266" s="2"/>
      <c r="F266" s="2"/>
      <c r="G266" s="2"/>
      <c r="H266" s="2"/>
    </row>
    <row r="267" spans="1:8" ht="15.7" customHeight="1" x14ac:dyDescent="0.3">
      <c r="A267" s="2"/>
      <c r="B267" s="2"/>
      <c r="C267" s="2"/>
      <c r="D267" s="2"/>
      <c r="E267" s="2"/>
      <c r="F267" s="2"/>
      <c r="G267" s="2"/>
      <c r="H267" s="2"/>
    </row>
    <row r="268" spans="1:8" ht="15.7" customHeight="1" x14ac:dyDescent="0.3">
      <c r="A268" s="2"/>
      <c r="B268" s="2"/>
      <c r="C268" s="2"/>
      <c r="D268" s="2"/>
      <c r="E268" s="2"/>
      <c r="F268" s="2"/>
      <c r="G268" s="2"/>
      <c r="H268" s="2"/>
    </row>
    <row r="269" spans="1:8" ht="15.7" customHeight="1" x14ac:dyDescent="0.3">
      <c r="A269" s="2"/>
      <c r="B269" s="2"/>
      <c r="C269" s="2"/>
      <c r="D269" s="2"/>
      <c r="E269" s="2"/>
      <c r="F269" s="2"/>
      <c r="G269" s="2"/>
      <c r="H269" s="2"/>
    </row>
    <row r="270" spans="1:8" ht="15.7" customHeight="1" x14ac:dyDescent="0.3">
      <c r="A270" s="2"/>
      <c r="B270" s="2"/>
      <c r="C270" s="2"/>
      <c r="D270" s="2"/>
      <c r="E270" s="2"/>
      <c r="F270" s="2"/>
      <c r="G270" s="2"/>
      <c r="H270" s="2"/>
    </row>
    <row r="271" spans="1:8" ht="15.7" customHeight="1" x14ac:dyDescent="0.3">
      <c r="A271" s="2"/>
      <c r="B271" s="2"/>
      <c r="C271" s="2"/>
      <c r="D271" s="2"/>
      <c r="E271" s="2"/>
      <c r="F271" s="2"/>
      <c r="G271" s="2"/>
      <c r="H271" s="2"/>
    </row>
    <row r="272" spans="1:8" ht="15.7" customHeight="1" x14ac:dyDescent="0.3">
      <c r="A272" s="2"/>
      <c r="B272" s="2"/>
      <c r="C272" s="2"/>
      <c r="D272" s="2"/>
      <c r="E272" s="2"/>
      <c r="F272" s="2"/>
      <c r="G272" s="2"/>
      <c r="H272" s="2"/>
    </row>
    <row r="273" spans="1:8" ht="15.7" customHeight="1" x14ac:dyDescent="0.3">
      <c r="A273" s="2"/>
      <c r="B273" s="2"/>
      <c r="C273" s="2"/>
      <c r="D273" s="2"/>
      <c r="E273" s="2"/>
      <c r="F273" s="2"/>
      <c r="G273" s="2"/>
      <c r="H273" s="2"/>
    </row>
    <row r="274" spans="1:8" ht="15.7" customHeight="1" x14ac:dyDescent="0.3">
      <c r="A274" s="2"/>
      <c r="B274" s="2"/>
      <c r="C274" s="2"/>
      <c r="D274" s="2"/>
      <c r="E274" s="2"/>
      <c r="F274" s="2"/>
      <c r="G274" s="2"/>
      <c r="H274" s="2"/>
    </row>
    <row r="275" spans="1:8" ht="15.7" customHeight="1" x14ac:dyDescent="0.3">
      <c r="A275" s="2"/>
      <c r="B275" s="2"/>
      <c r="C275" s="2"/>
      <c r="D275" s="2"/>
      <c r="E275" s="2"/>
      <c r="F275" s="2"/>
      <c r="G275" s="2"/>
      <c r="H275" s="2"/>
    </row>
    <row r="276" spans="1:8" ht="15.7" customHeight="1" x14ac:dyDescent="0.3">
      <c r="A276" s="2"/>
      <c r="B276" s="2"/>
      <c r="C276" s="2"/>
      <c r="D276" s="2"/>
      <c r="E276" s="2"/>
      <c r="F276" s="2"/>
      <c r="G276" s="2"/>
      <c r="H276" s="2"/>
    </row>
    <row r="277" spans="1:8" ht="15.7" customHeight="1" x14ac:dyDescent="0.3">
      <c r="A277" s="2"/>
      <c r="B277" s="2"/>
      <c r="C277" s="2"/>
      <c r="D277" s="2"/>
      <c r="E277" s="2"/>
      <c r="F277" s="2"/>
      <c r="G277" s="2"/>
      <c r="H277" s="2"/>
    </row>
    <row r="278" spans="1:8" ht="15.7" customHeight="1" x14ac:dyDescent="0.3">
      <c r="A278" s="2"/>
      <c r="B278" s="2"/>
      <c r="C278" s="2"/>
      <c r="D278" s="2"/>
      <c r="E278" s="2"/>
      <c r="F278" s="2"/>
      <c r="G278" s="2"/>
      <c r="H278" s="2"/>
    </row>
    <row r="279" spans="1:8" ht="15.7" customHeight="1" x14ac:dyDescent="0.3">
      <c r="A279" s="2"/>
      <c r="B279" s="2"/>
      <c r="C279" s="2"/>
      <c r="D279" s="2"/>
      <c r="E279" s="2"/>
      <c r="F279" s="2"/>
      <c r="G279" s="2"/>
      <c r="H279" s="2"/>
    </row>
    <row r="280" spans="1:8" ht="15.7" customHeight="1" x14ac:dyDescent="0.3">
      <c r="A280" s="2"/>
      <c r="B280" s="2"/>
      <c r="C280" s="2"/>
      <c r="D280" s="2"/>
      <c r="E280" s="2"/>
      <c r="F280" s="2"/>
      <c r="G280" s="2"/>
      <c r="H280" s="2"/>
    </row>
    <row r="281" spans="1:8" ht="15.7" customHeight="1" x14ac:dyDescent="0.3">
      <c r="A281" s="2"/>
      <c r="B281" s="2"/>
      <c r="C281" s="2"/>
      <c r="D281" s="2"/>
      <c r="E281" s="2"/>
      <c r="F281" s="2"/>
      <c r="G281" s="2"/>
      <c r="H281" s="2"/>
    </row>
    <row r="282" spans="1:8" ht="15.7" customHeight="1" x14ac:dyDescent="0.3">
      <c r="A282" s="2"/>
      <c r="B282" s="2"/>
      <c r="C282" s="2"/>
      <c r="D282" s="2"/>
      <c r="E282" s="2"/>
      <c r="F282" s="2"/>
      <c r="G282" s="2"/>
      <c r="H282" s="2"/>
    </row>
    <row r="283" spans="1:8" ht="15.7" customHeight="1" x14ac:dyDescent="0.3">
      <c r="A283" s="2"/>
      <c r="B283" s="2"/>
      <c r="C283" s="2"/>
      <c r="D283" s="2"/>
      <c r="E283" s="2"/>
      <c r="F283" s="2"/>
      <c r="G283" s="2"/>
      <c r="H283" s="2"/>
    </row>
    <row r="284" spans="1:8" ht="15.7" customHeight="1" x14ac:dyDescent="0.3">
      <c r="A284" s="2"/>
      <c r="B284" s="2"/>
      <c r="C284" s="2"/>
      <c r="D284" s="2"/>
      <c r="E284" s="2"/>
      <c r="F284" s="2"/>
      <c r="G284" s="2"/>
      <c r="H284" s="2"/>
    </row>
    <row r="285" spans="1:8" ht="15.7" customHeight="1" x14ac:dyDescent="0.3">
      <c r="A285" s="2"/>
      <c r="B285" s="2"/>
      <c r="C285" s="2"/>
      <c r="D285" s="2"/>
      <c r="E285" s="2"/>
      <c r="F285" s="2"/>
      <c r="G285" s="2"/>
      <c r="H285" s="2"/>
    </row>
    <row r="286" spans="1:8" ht="15.7" customHeight="1" x14ac:dyDescent="0.3">
      <c r="A286" s="2"/>
      <c r="B286" s="2"/>
      <c r="C286" s="2"/>
      <c r="D286" s="2"/>
      <c r="E286" s="2"/>
      <c r="F286" s="2"/>
      <c r="G286" s="2"/>
      <c r="H286" s="2"/>
    </row>
    <row r="287" spans="1:8" ht="15.7" customHeight="1" x14ac:dyDescent="0.3">
      <c r="A287" s="2"/>
      <c r="B287" s="2"/>
      <c r="C287" s="2"/>
      <c r="D287" s="2"/>
      <c r="E287" s="2"/>
      <c r="F287" s="2"/>
      <c r="G287" s="2"/>
      <c r="H287" s="2"/>
    </row>
    <row r="288" spans="1:8" ht="15.7" customHeight="1" x14ac:dyDescent="0.3">
      <c r="A288" s="2"/>
      <c r="B288" s="2"/>
      <c r="C288" s="2"/>
      <c r="D288" s="2"/>
      <c r="E288" s="2"/>
      <c r="F288" s="2"/>
      <c r="G288" s="2"/>
      <c r="H288" s="2"/>
    </row>
    <row r="289" spans="1:8" ht="15.7" customHeight="1" x14ac:dyDescent="0.3">
      <c r="A289" s="2"/>
      <c r="B289" s="2"/>
      <c r="C289" s="2"/>
      <c r="D289" s="2"/>
      <c r="E289" s="2"/>
      <c r="F289" s="2"/>
      <c r="G289" s="2"/>
      <c r="H289" s="2"/>
    </row>
    <row r="290" spans="1:8" ht="15.7" customHeight="1" x14ac:dyDescent="0.3">
      <c r="A290" s="2"/>
      <c r="B290" s="2"/>
      <c r="C290" s="2"/>
      <c r="D290" s="2"/>
      <c r="E290" s="2"/>
      <c r="F290" s="2"/>
      <c r="G290" s="2"/>
      <c r="H290" s="2"/>
    </row>
    <row r="291" spans="1:8" ht="15.7" customHeight="1" x14ac:dyDescent="0.3">
      <c r="A291" s="2"/>
      <c r="B291" s="2"/>
      <c r="C291" s="2"/>
      <c r="D291" s="2"/>
      <c r="E291" s="2"/>
      <c r="F291" s="2"/>
      <c r="G291" s="2"/>
      <c r="H291" s="2"/>
    </row>
    <row r="292" spans="1:8" ht="15.7" customHeight="1" x14ac:dyDescent="0.3">
      <c r="A292" s="2"/>
      <c r="B292" s="2"/>
      <c r="C292" s="2"/>
      <c r="D292" s="2"/>
      <c r="E292" s="2"/>
      <c r="F292" s="2"/>
      <c r="G292" s="2"/>
      <c r="H292" s="2"/>
    </row>
    <row r="293" spans="1:8" ht="15.7" customHeight="1" x14ac:dyDescent="0.3">
      <c r="A293" s="2"/>
      <c r="B293" s="2"/>
      <c r="C293" s="2"/>
      <c r="D293" s="2"/>
      <c r="E293" s="2"/>
      <c r="F293" s="2"/>
      <c r="G293" s="2"/>
      <c r="H293" s="2"/>
    </row>
    <row r="294" spans="1:8" ht="15.7" customHeight="1" x14ac:dyDescent="0.3">
      <c r="A294" s="2"/>
      <c r="B294" s="2"/>
      <c r="C294" s="2"/>
      <c r="D294" s="2"/>
      <c r="E294" s="2"/>
      <c r="F294" s="2"/>
      <c r="G294" s="2"/>
      <c r="H294" s="2"/>
    </row>
    <row r="295" spans="1:8" ht="15.7" customHeight="1" x14ac:dyDescent="0.3">
      <c r="A295" s="2"/>
      <c r="B295" s="2"/>
      <c r="C295" s="2"/>
      <c r="D295" s="2"/>
      <c r="E295" s="2"/>
      <c r="F295" s="2"/>
      <c r="G295" s="2"/>
      <c r="H295" s="2"/>
    </row>
    <row r="296" spans="1:8" ht="15.7" customHeight="1" x14ac:dyDescent="0.3">
      <c r="A296" s="2"/>
      <c r="B296" s="2"/>
      <c r="C296" s="2"/>
      <c r="D296" s="2"/>
      <c r="E296" s="2"/>
      <c r="F296" s="2"/>
      <c r="G296" s="2"/>
      <c r="H296" s="2"/>
    </row>
    <row r="297" spans="1:8" ht="15.7" customHeight="1" x14ac:dyDescent="0.3">
      <c r="A297" s="2"/>
      <c r="B297" s="2"/>
      <c r="C297" s="2"/>
      <c r="D297" s="2"/>
      <c r="E297" s="2"/>
      <c r="F297" s="2"/>
      <c r="G297" s="2"/>
      <c r="H297" s="2"/>
    </row>
    <row r="298" spans="1:8" ht="15.7" customHeight="1" x14ac:dyDescent="0.3">
      <c r="A298" s="2"/>
      <c r="B298" s="2"/>
      <c r="C298" s="2"/>
      <c r="D298" s="2"/>
      <c r="E298" s="2"/>
      <c r="F298" s="2"/>
      <c r="G298" s="2"/>
      <c r="H298" s="2"/>
    </row>
    <row r="299" spans="1:8" ht="15.7" customHeight="1" x14ac:dyDescent="0.3">
      <c r="A299" s="2"/>
      <c r="B299" s="2"/>
      <c r="C299" s="2"/>
      <c r="D299" s="2"/>
      <c r="E299" s="2"/>
      <c r="F299" s="2"/>
      <c r="G299" s="2"/>
      <c r="H299" s="2"/>
    </row>
    <row r="300" spans="1:8" ht="15.7" customHeight="1" x14ac:dyDescent="0.3">
      <c r="A300" s="2"/>
      <c r="B300" s="2"/>
      <c r="C300" s="2"/>
      <c r="D300" s="2"/>
      <c r="E300" s="2"/>
      <c r="F300" s="2"/>
      <c r="G300" s="2"/>
      <c r="H300" s="2"/>
    </row>
    <row r="301" spans="1:8" ht="15.7" customHeight="1" x14ac:dyDescent="0.3">
      <c r="A301" s="2"/>
      <c r="B301" s="2"/>
      <c r="C301" s="2"/>
      <c r="D301" s="2"/>
      <c r="E301" s="2"/>
      <c r="F301" s="2"/>
      <c r="G301" s="2"/>
      <c r="H301" s="2"/>
    </row>
    <row r="302" spans="1:8" ht="15.7" customHeight="1" x14ac:dyDescent="0.3">
      <c r="A302" s="2"/>
      <c r="B302" s="2"/>
      <c r="C302" s="2"/>
      <c r="D302" s="2"/>
      <c r="E302" s="2"/>
      <c r="F302" s="2"/>
      <c r="G302" s="2"/>
      <c r="H302" s="2"/>
    </row>
    <row r="303" spans="1:8" ht="15.7" customHeight="1" x14ac:dyDescent="0.3">
      <c r="A303" s="2"/>
      <c r="B303" s="2"/>
      <c r="C303" s="2"/>
      <c r="D303" s="2"/>
      <c r="E303" s="2"/>
      <c r="F303" s="2"/>
      <c r="G303" s="2"/>
      <c r="H303" s="2"/>
    </row>
    <row r="304" spans="1:8" ht="15.7" customHeight="1" x14ac:dyDescent="0.3">
      <c r="A304" s="2"/>
      <c r="B304" s="2"/>
      <c r="C304" s="2"/>
      <c r="D304" s="2"/>
      <c r="E304" s="2"/>
      <c r="F304" s="2"/>
      <c r="G304" s="2"/>
      <c r="H304" s="2"/>
    </row>
    <row r="305" spans="1:8" ht="15.7" customHeight="1" x14ac:dyDescent="0.3">
      <c r="A305" s="2"/>
      <c r="B305" s="2"/>
      <c r="C305" s="2"/>
      <c r="D305" s="2"/>
      <c r="E305" s="2"/>
      <c r="F305" s="2"/>
      <c r="G305" s="2"/>
      <c r="H305" s="2"/>
    </row>
    <row r="306" spans="1:8" ht="15.7" customHeight="1" x14ac:dyDescent="0.3">
      <c r="A306" s="2"/>
      <c r="B306" s="2"/>
      <c r="C306" s="2"/>
      <c r="D306" s="2"/>
      <c r="E306" s="2"/>
      <c r="F306" s="2"/>
      <c r="G306" s="2"/>
      <c r="H306" s="2"/>
    </row>
    <row r="307" spans="1:8" ht="15.7" customHeight="1" x14ac:dyDescent="0.3">
      <c r="A307" s="2"/>
      <c r="B307" s="2"/>
      <c r="C307" s="2"/>
      <c r="D307" s="2"/>
      <c r="E307" s="2"/>
      <c r="F307" s="2"/>
      <c r="G307" s="2"/>
      <c r="H307" s="2"/>
    </row>
    <row r="308" spans="1:8" ht="15.7" customHeight="1" x14ac:dyDescent="0.3">
      <c r="A308" s="2"/>
      <c r="B308" s="2"/>
      <c r="C308" s="2"/>
      <c r="D308" s="2"/>
      <c r="E308" s="2"/>
      <c r="F308" s="2"/>
      <c r="G308" s="2"/>
      <c r="H308" s="2"/>
    </row>
    <row r="309" spans="1:8" ht="15.7" customHeight="1" x14ac:dyDescent="0.3">
      <c r="A309" s="2"/>
      <c r="B309" s="2"/>
      <c r="C309" s="2"/>
      <c r="D309" s="2"/>
      <c r="E309" s="2"/>
      <c r="F309" s="2"/>
      <c r="G309" s="2"/>
      <c r="H309" s="2"/>
    </row>
    <row r="310" spans="1:8" ht="15.7" customHeight="1" x14ac:dyDescent="0.3">
      <c r="A310" s="2"/>
      <c r="B310" s="2"/>
      <c r="C310" s="2"/>
      <c r="D310" s="2"/>
      <c r="E310" s="2"/>
      <c r="F310" s="2"/>
      <c r="G310" s="2"/>
      <c r="H310" s="2"/>
    </row>
    <row r="311" spans="1:8" ht="15.7" customHeight="1" x14ac:dyDescent="0.3">
      <c r="A311" s="2"/>
      <c r="B311" s="2"/>
      <c r="C311" s="2"/>
      <c r="D311" s="2"/>
      <c r="E311" s="2"/>
      <c r="F311" s="2"/>
      <c r="G311" s="2"/>
      <c r="H311" s="2"/>
    </row>
    <row r="312" spans="1:8" ht="15.7" customHeight="1" x14ac:dyDescent="0.3">
      <c r="A312" s="2"/>
      <c r="B312" s="2"/>
      <c r="C312" s="2"/>
      <c r="D312" s="2"/>
      <c r="E312" s="2"/>
      <c r="F312" s="2"/>
      <c r="G312" s="2"/>
      <c r="H312" s="2"/>
    </row>
    <row r="313" spans="1:8" ht="15.7" customHeight="1" x14ac:dyDescent="0.3">
      <c r="A313" s="2"/>
      <c r="B313" s="2"/>
      <c r="C313" s="2"/>
      <c r="D313" s="2"/>
      <c r="E313" s="2"/>
      <c r="F313" s="2"/>
      <c r="G313" s="2"/>
      <c r="H313" s="2"/>
    </row>
    <row r="314" spans="1:8" ht="15.7" customHeight="1" x14ac:dyDescent="0.3">
      <c r="A314" s="2"/>
      <c r="B314" s="2"/>
      <c r="C314" s="2"/>
      <c r="D314" s="2"/>
      <c r="E314" s="2"/>
      <c r="F314" s="2"/>
      <c r="G314" s="2"/>
      <c r="H314" s="2"/>
    </row>
    <row r="315" spans="1:8" ht="15.7" customHeight="1" x14ac:dyDescent="0.3">
      <c r="A315" s="2"/>
      <c r="B315" s="2"/>
      <c r="C315" s="2"/>
      <c r="D315" s="2"/>
      <c r="E315" s="2"/>
      <c r="F315" s="2"/>
      <c r="G315" s="2"/>
      <c r="H315" s="2"/>
    </row>
    <row r="316" spans="1:8" ht="15.7" customHeight="1" x14ac:dyDescent="0.3">
      <c r="A316" s="2"/>
      <c r="B316" s="2"/>
      <c r="C316" s="2"/>
      <c r="D316" s="2"/>
      <c r="E316" s="2"/>
      <c r="F316" s="2"/>
      <c r="G316" s="2"/>
      <c r="H316" s="2"/>
    </row>
    <row r="317" spans="1:8" ht="15.7" customHeight="1" x14ac:dyDescent="0.3">
      <c r="A317" s="2"/>
      <c r="B317" s="2"/>
      <c r="C317" s="2"/>
      <c r="D317" s="2"/>
      <c r="E317" s="2"/>
      <c r="F317" s="2"/>
      <c r="G317" s="2"/>
      <c r="H317" s="2"/>
    </row>
    <row r="318" spans="1:8" ht="15.7" customHeight="1" x14ac:dyDescent="0.3">
      <c r="A318" s="2"/>
      <c r="B318" s="2"/>
      <c r="C318" s="2"/>
      <c r="D318" s="2"/>
      <c r="E318" s="2"/>
      <c r="F318" s="2"/>
      <c r="G318" s="2"/>
      <c r="H318" s="2"/>
    </row>
    <row r="319" spans="1:8" ht="15.7" customHeight="1" x14ac:dyDescent="0.3">
      <c r="A319" s="2"/>
      <c r="B319" s="2"/>
      <c r="C319" s="2"/>
      <c r="D319" s="2"/>
      <c r="E319" s="2"/>
      <c r="F319" s="2"/>
      <c r="G319" s="2"/>
      <c r="H319" s="2"/>
    </row>
    <row r="320" spans="1:8" ht="15.7" customHeight="1" x14ac:dyDescent="0.3">
      <c r="A320" s="2"/>
      <c r="B320" s="2"/>
      <c r="C320" s="2"/>
      <c r="D320" s="2"/>
      <c r="E320" s="2"/>
      <c r="F320" s="2"/>
      <c r="G320" s="2"/>
      <c r="H320" s="2"/>
    </row>
    <row r="321" spans="1:8" ht="15.7" customHeight="1" x14ac:dyDescent="0.3">
      <c r="A321" s="2"/>
      <c r="B321" s="2"/>
      <c r="C321" s="2"/>
      <c r="D321" s="2"/>
      <c r="E321" s="2"/>
      <c r="F321" s="2"/>
      <c r="G321" s="2"/>
      <c r="H321" s="2"/>
    </row>
    <row r="322" spans="1:8" ht="15.7" customHeight="1" x14ac:dyDescent="0.3">
      <c r="A322" s="2"/>
      <c r="B322" s="2"/>
      <c r="C322" s="2"/>
      <c r="D322" s="2"/>
      <c r="E322" s="2"/>
      <c r="F322" s="2"/>
      <c r="G322" s="2"/>
      <c r="H322" s="2"/>
    </row>
    <row r="323" spans="1:8" ht="15.7" customHeight="1" x14ac:dyDescent="0.3">
      <c r="A323" s="2"/>
      <c r="B323" s="2"/>
      <c r="C323" s="2"/>
      <c r="D323" s="2"/>
      <c r="E323" s="2"/>
      <c r="F323" s="2"/>
      <c r="G323" s="2"/>
      <c r="H323" s="2"/>
    </row>
    <row r="324" spans="1:8" ht="15.7" customHeight="1" x14ac:dyDescent="0.3">
      <c r="A324" s="2"/>
      <c r="B324" s="2"/>
      <c r="C324" s="2"/>
      <c r="D324" s="2"/>
      <c r="E324" s="2"/>
      <c r="F324" s="2"/>
      <c r="G324" s="2"/>
      <c r="H324" s="2"/>
    </row>
    <row r="325" spans="1:8" ht="15.7" customHeight="1" x14ac:dyDescent="0.3">
      <c r="A325" s="2"/>
      <c r="B325" s="2"/>
      <c r="C325" s="2"/>
      <c r="D325" s="2"/>
      <c r="E325" s="2"/>
      <c r="F325" s="2"/>
      <c r="G325" s="2"/>
      <c r="H325" s="2"/>
    </row>
    <row r="326" spans="1:8" ht="15.7" customHeight="1" x14ac:dyDescent="0.3">
      <c r="A326" s="2"/>
      <c r="B326" s="2"/>
      <c r="C326" s="2"/>
      <c r="D326" s="2"/>
      <c r="E326" s="2"/>
      <c r="F326" s="2"/>
      <c r="G326" s="2"/>
      <c r="H326" s="2"/>
    </row>
    <row r="327" spans="1:8" ht="15.7" customHeight="1" x14ac:dyDescent="0.3">
      <c r="A327" s="2"/>
      <c r="B327" s="2"/>
      <c r="C327" s="2"/>
      <c r="D327" s="2"/>
      <c r="E327" s="2"/>
      <c r="F327" s="2"/>
      <c r="G327" s="2"/>
      <c r="H327" s="2"/>
    </row>
    <row r="328" spans="1:8" ht="15.7" customHeight="1" x14ac:dyDescent="0.3">
      <c r="A328" s="2"/>
      <c r="B328" s="2"/>
      <c r="C328" s="2"/>
      <c r="D328" s="2"/>
      <c r="E328" s="2"/>
      <c r="F328" s="2"/>
      <c r="G328" s="2"/>
      <c r="H328" s="2"/>
    </row>
    <row r="329" spans="1:8" ht="15.7" customHeight="1" x14ac:dyDescent="0.3">
      <c r="A329" s="2"/>
      <c r="B329" s="2"/>
      <c r="C329" s="2"/>
      <c r="D329" s="2"/>
      <c r="E329" s="2"/>
      <c r="F329" s="2"/>
      <c r="G329" s="2"/>
      <c r="H329" s="2"/>
    </row>
    <row r="330" spans="1:8" ht="15.7" customHeight="1" x14ac:dyDescent="0.3">
      <c r="A330" s="2"/>
      <c r="B330" s="2"/>
      <c r="C330" s="2"/>
      <c r="D330" s="2"/>
      <c r="E330" s="2"/>
      <c r="F330" s="2"/>
      <c r="G330" s="2"/>
      <c r="H330" s="2"/>
    </row>
    <row r="331" spans="1:8" ht="15.7" customHeight="1" x14ac:dyDescent="0.3">
      <c r="A331" s="2"/>
      <c r="B331" s="2"/>
      <c r="C331" s="2"/>
      <c r="D331" s="2"/>
      <c r="E331" s="2"/>
      <c r="F331" s="2"/>
      <c r="G331" s="2"/>
      <c r="H331" s="2"/>
    </row>
    <row r="332" spans="1:8" ht="15.7" customHeight="1" x14ac:dyDescent="0.3">
      <c r="A332" s="2"/>
      <c r="B332" s="2"/>
      <c r="C332" s="2"/>
      <c r="D332" s="2"/>
      <c r="E332" s="2"/>
      <c r="F332" s="2"/>
      <c r="G332" s="2"/>
      <c r="H332" s="2"/>
    </row>
    <row r="333" spans="1:8" ht="15.7" customHeight="1" x14ac:dyDescent="0.3">
      <c r="A333" s="2"/>
      <c r="B333" s="2"/>
      <c r="C333" s="2"/>
      <c r="D333" s="2"/>
      <c r="E333" s="2"/>
      <c r="F333" s="2"/>
      <c r="G333" s="2"/>
      <c r="H333" s="2"/>
    </row>
    <row r="334" spans="1:8" ht="15.7" customHeight="1" x14ac:dyDescent="0.3">
      <c r="A334" s="2"/>
      <c r="B334" s="2"/>
      <c r="C334" s="2"/>
      <c r="D334" s="2"/>
      <c r="E334" s="2"/>
      <c r="F334" s="2"/>
      <c r="G334" s="2"/>
      <c r="H334" s="2"/>
    </row>
    <row r="335" spans="1:8" ht="15.7" customHeight="1" x14ac:dyDescent="0.3">
      <c r="A335" s="2"/>
      <c r="B335" s="2"/>
      <c r="C335" s="2"/>
      <c r="D335" s="2"/>
      <c r="E335" s="2"/>
      <c r="F335" s="2"/>
      <c r="G335" s="2"/>
      <c r="H335" s="2"/>
    </row>
    <row r="336" spans="1:8" ht="15.7" customHeight="1" x14ac:dyDescent="0.3">
      <c r="A336" s="2"/>
      <c r="B336" s="2"/>
      <c r="C336" s="2"/>
      <c r="D336" s="2"/>
      <c r="E336" s="2"/>
      <c r="F336" s="2"/>
      <c r="G336" s="2"/>
      <c r="H336" s="2"/>
    </row>
    <row r="337" spans="1:8" ht="15.7" customHeight="1" x14ac:dyDescent="0.3">
      <c r="A337" s="2"/>
      <c r="B337" s="2"/>
      <c r="C337" s="2"/>
      <c r="D337" s="2"/>
      <c r="E337" s="2"/>
      <c r="F337" s="2"/>
      <c r="G337" s="2"/>
      <c r="H337" s="2"/>
    </row>
    <row r="338" spans="1:8" ht="15.7" customHeight="1" x14ac:dyDescent="0.3">
      <c r="A338" s="2"/>
      <c r="B338" s="2"/>
      <c r="C338" s="2"/>
      <c r="D338" s="2"/>
      <c r="E338" s="2"/>
      <c r="F338" s="2"/>
      <c r="G338" s="2"/>
      <c r="H338" s="2"/>
    </row>
    <row r="339" spans="1:8" ht="15.7" customHeight="1" x14ac:dyDescent="0.3">
      <c r="A339" s="2"/>
      <c r="B339" s="2"/>
      <c r="C339" s="2"/>
      <c r="D339" s="2"/>
      <c r="E339" s="2"/>
      <c r="F339" s="2"/>
      <c r="G339" s="2"/>
      <c r="H339" s="2"/>
    </row>
    <row r="340" spans="1:8" ht="15.7" customHeight="1" x14ac:dyDescent="0.3">
      <c r="A340" s="2"/>
      <c r="B340" s="2"/>
      <c r="C340" s="2"/>
      <c r="D340" s="2"/>
      <c r="E340" s="2"/>
      <c r="F340" s="2"/>
      <c r="G340" s="2"/>
      <c r="H340" s="2"/>
    </row>
    <row r="341" spans="1:8" ht="15.7" customHeight="1" x14ac:dyDescent="0.3">
      <c r="A341" s="2"/>
      <c r="B341" s="2"/>
      <c r="C341" s="2"/>
      <c r="D341" s="2"/>
      <c r="E341" s="2"/>
      <c r="F341" s="2"/>
      <c r="G341" s="2"/>
      <c r="H341" s="2"/>
    </row>
    <row r="342" spans="1:8" ht="15.7" customHeight="1" x14ac:dyDescent="0.3">
      <c r="A342" s="2"/>
      <c r="B342" s="2"/>
      <c r="C342" s="2"/>
      <c r="D342" s="2"/>
      <c r="E342" s="2"/>
      <c r="F342" s="2"/>
      <c r="G342" s="2"/>
      <c r="H342" s="2"/>
    </row>
    <row r="343" spans="1:8" ht="15.7" customHeight="1" x14ac:dyDescent="0.3">
      <c r="A343" s="2"/>
      <c r="B343" s="2"/>
      <c r="C343" s="2"/>
      <c r="D343" s="2"/>
      <c r="E343" s="2"/>
      <c r="F343" s="2"/>
      <c r="G343" s="2"/>
      <c r="H343" s="2"/>
    </row>
    <row r="344" spans="1:8" ht="15.7" customHeight="1" x14ac:dyDescent="0.3">
      <c r="A344" s="2"/>
      <c r="B344" s="2"/>
      <c r="C344" s="2"/>
      <c r="D344" s="2"/>
      <c r="E344" s="2"/>
      <c r="F344" s="2"/>
      <c r="G344" s="2"/>
      <c r="H344" s="2"/>
    </row>
    <row r="345" spans="1:8" ht="15.7" customHeight="1" x14ac:dyDescent="0.3">
      <c r="A345" s="2"/>
      <c r="B345" s="2"/>
      <c r="C345" s="2"/>
      <c r="D345" s="2"/>
      <c r="E345" s="2"/>
      <c r="F345" s="2"/>
      <c r="G345" s="2"/>
      <c r="H345" s="2"/>
    </row>
    <row r="346" spans="1:8" ht="15.7" customHeight="1" x14ac:dyDescent="0.3">
      <c r="A346" s="2"/>
      <c r="B346" s="2"/>
      <c r="C346" s="2"/>
      <c r="D346" s="2"/>
      <c r="E346" s="2"/>
      <c r="F346" s="2"/>
      <c r="G346" s="2"/>
      <c r="H346" s="2"/>
    </row>
    <row r="347" spans="1:8" ht="15.7" customHeight="1" x14ac:dyDescent="0.3">
      <c r="A347" s="2"/>
      <c r="B347" s="2"/>
      <c r="C347" s="2"/>
      <c r="D347" s="2"/>
      <c r="E347" s="2"/>
      <c r="F347" s="2"/>
      <c r="G347" s="2"/>
      <c r="H347" s="2"/>
    </row>
    <row r="348" spans="1:8" ht="15.7" customHeight="1" x14ac:dyDescent="0.3">
      <c r="A348" s="2"/>
      <c r="B348" s="2"/>
      <c r="C348" s="2"/>
      <c r="D348" s="2"/>
      <c r="E348" s="2"/>
      <c r="F348" s="2"/>
      <c r="G348" s="2"/>
      <c r="H348" s="2"/>
    </row>
    <row r="349" spans="1:8" ht="15.7" customHeight="1" x14ac:dyDescent="0.3">
      <c r="A349" s="2"/>
      <c r="B349" s="2"/>
      <c r="C349" s="2"/>
      <c r="D349" s="2"/>
      <c r="E349" s="2"/>
      <c r="F349" s="2"/>
      <c r="G349" s="2"/>
      <c r="H349" s="2"/>
    </row>
    <row r="350" spans="1:8" ht="15.7" customHeight="1" x14ac:dyDescent="0.3">
      <c r="A350" s="2"/>
      <c r="B350" s="2"/>
      <c r="C350" s="2"/>
      <c r="D350" s="2"/>
      <c r="E350" s="2"/>
      <c r="F350" s="2"/>
      <c r="G350" s="2"/>
      <c r="H350" s="2"/>
    </row>
    <row r="351" spans="1:8" ht="15.7" customHeight="1" x14ac:dyDescent="0.3">
      <c r="A351" s="2"/>
      <c r="B351" s="2"/>
      <c r="C351" s="2"/>
      <c r="D351" s="2"/>
      <c r="E351" s="2"/>
      <c r="F351" s="2"/>
      <c r="G351" s="2"/>
      <c r="H351" s="2"/>
    </row>
    <row r="352" spans="1:8" ht="15.7" customHeight="1" x14ac:dyDescent="0.3">
      <c r="A352" s="2"/>
      <c r="B352" s="2"/>
      <c r="C352" s="2"/>
      <c r="D352" s="2"/>
      <c r="E352" s="2"/>
      <c r="F352" s="2"/>
      <c r="G352" s="2"/>
      <c r="H352" s="2"/>
    </row>
    <row r="353" spans="1:8" ht="15.7" customHeight="1" x14ac:dyDescent="0.3">
      <c r="A353" s="2"/>
      <c r="B353" s="2"/>
      <c r="C353" s="2"/>
      <c r="D353" s="2"/>
      <c r="E353" s="2"/>
      <c r="F353" s="2"/>
      <c r="G353" s="2"/>
      <c r="H353" s="2"/>
    </row>
    <row r="354" spans="1:8" ht="15.7" customHeight="1" x14ac:dyDescent="0.3">
      <c r="A354" s="2"/>
      <c r="B354" s="2"/>
      <c r="C354" s="2"/>
      <c r="D354" s="2"/>
      <c r="E354" s="2"/>
      <c r="F354" s="2"/>
      <c r="G354" s="2"/>
      <c r="H354" s="2"/>
    </row>
    <row r="355" spans="1:8" ht="15.7" customHeight="1" x14ac:dyDescent="0.3">
      <c r="A355" s="2"/>
      <c r="B355" s="2"/>
      <c r="C355" s="2"/>
      <c r="D355" s="2"/>
      <c r="E355" s="2"/>
      <c r="F355" s="2"/>
      <c r="G355" s="2"/>
      <c r="H355" s="2"/>
    </row>
    <row r="356" spans="1:8" ht="15.7" customHeight="1" x14ac:dyDescent="0.3">
      <c r="A356" s="2"/>
      <c r="B356" s="2"/>
      <c r="C356" s="2"/>
      <c r="D356" s="2"/>
      <c r="E356" s="2"/>
      <c r="F356" s="2"/>
      <c r="G356" s="2"/>
      <c r="H356" s="2"/>
    </row>
    <row r="357" spans="1:8" ht="15.7" customHeight="1" x14ac:dyDescent="0.3">
      <c r="A357" s="2"/>
      <c r="B357" s="2"/>
      <c r="C357" s="2"/>
      <c r="D357" s="2"/>
      <c r="E357" s="2"/>
      <c r="F357" s="2"/>
      <c r="G357" s="2"/>
      <c r="H357" s="2"/>
    </row>
    <row r="358" spans="1:8" ht="15.7" customHeight="1" x14ac:dyDescent="0.3">
      <c r="A358" s="2"/>
      <c r="B358" s="2"/>
      <c r="C358" s="2"/>
      <c r="D358" s="2"/>
      <c r="E358" s="2"/>
      <c r="F358" s="2"/>
      <c r="G358" s="2"/>
      <c r="H358" s="2"/>
    </row>
    <row r="359" spans="1:8" ht="15.7" customHeight="1" x14ac:dyDescent="0.3">
      <c r="A359" s="2"/>
      <c r="B359" s="2"/>
      <c r="C359" s="2"/>
      <c r="D359" s="2"/>
      <c r="E359" s="2"/>
      <c r="F359" s="2"/>
      <c r="G359" s="2"/>
      <c r="H359" s="2"/>
    </row>
    <row r="360" spans="1:8" ht="15.7" customHeight="1" x14ac:dyDescent="0.3">
      <c r="A360" s="2"/>
      <c r="B360" s="2"/>
      <c r="C360" s="2"/>
      <c r="D360" s="2"/>
      <c r="E360" s="2"/>
      <c r="F360" s="2"/>
      <c r="G360" s="2"/>
      <c r="H360" s="2"/>
    </row>
    <row r="361" spans="1:8" ht="15.7" customHeight="1" x14ac:dyDescent="0.3">
      <c r="A361" s="2"/>
      <c r="B361" s="2"/>
      <c r="C361" s="2"/>
      <c r="D361" s="2"/>
      <c r="E361" s="2"/>
      <c r="F361" s="2"/>
      <c r="G361" s="2"/>
      <c r="H361" s="2"/>
    </row>
    <row r="362" spans="1:8" ht="15.7" customHeight="1" x14ac:dyDescent="0.3">
      <c r="A362" s="2"/>
      <c r="B362" s="2"/>
      <c r="C362" s="2"/>
      <c r="D362" s="2"/>
      <c r="E362" s="2"/>
      <c r="F362" s="2"/>
      <c r="G362" s="2"/>
      <c r="H362" s="2"/>
    </row>
    <row r="363" spans="1:8" ht="15.7" customHeight="1" x14ac:dyDescent="0.3">
      <c r="A363" s="2"/>
      <c r="B363" s="2"/>
      <c r="C363" s="2"/>
      <c r="D363" s="2"/>
      <c r="E363" s="2"/>
      <c r="F363" s="2"/>
      <c r="G363" s="2"/>
      <c r="H363" s="2"/>
    </row>
    <row r="364" spans="1:8" ht="15.7" customHeight="1" x14ac:dyDescent="0.3">
      <c r="A364" s="2"/>
      <c r="B364" s="2"/>
      <c r="C364" s="2"/>
      <c r="D364" s="2"/>
      <c r="E364" s="2"/>
      <c r="F364" s="2"/>
      <c r="G364" s="2"/>
      <c r="H364" s="2"/>
    </row>
    <row r="365" spans="1:8" ht="15.7" customHeight="1" x14ac:dyDescent="0.3">
      <c r="A365" s="2"/>
      <c r="B365" s="2"/>
      <c r="C365" s="2"/>
      <c r="D365" s="2"/>
      <c r="E365" s="2"/>
      <c r="F365" s="2"/>
      <c r="G365" s="2"/>
      <c r="H365" s="2"/>
    </row>
    <row r="366" spans="1:8" ht="15.7" customHeight="1" x14ac:dyDescent="0.3">
      <c r="A366" s="2"/>
      <c r="B366" s="2"/>
      <c r="C366" s="2"/>
      <c r="D366" s="2"/>
      <c r="E366" s="2"/>
      <c r="F366" s="2"/>
      <c r="G366" s="2"/>
      <c r="H366" s="2"/>
    </row>
    <row r="367" spans="1:8" ht="15.7" customHeight="1" x14ac:dyDescent="0.3">
      <c r="A367" s="2"/>
      <c r="B367" s="2"/>
      <c r="C367" s="2"/>
      <c r="D367" s="2"/>
      <c r="E367" s="2"/>
      <c r="F367" s="2"/>
      <c r="G367" s="2"/>
      <c r="H367" s="2"/>
    </row>
    <row r="368" spans="1:8" ht="15.7" customHeight="1" x14ac:dyDescent="0.3">
      <c r="A368" s="2"/>
      <c r="B368" s="2"/>
      <c r="C368" s="2"/>
      <c r="D368" s="2"/>
      <c r="E368" s="2"/>
      <c r="F368" s="2"/>
      <c r="G368" s="2"/>
      <c r="H368" s="2"/>
    </row>
    <row r="369" spans="1:8" ht="15.7" customHeight="1" x14ac:dyDescent="0.3">
      <c r="A369" s="2"/>
      <c r="B369" s="2"/>
      <c r="C369" s="2"/>
      <c r="D369" s="2"/>
      <c r="E369" s="2"/>
      <c r="F369" s="2"/>
      <c r="G369" s="2"/>
      <c r="H369" s="2"/>
    </row>
    <row r="370" spans="1:8" ht="15.7" customHeight="1" x14ac:dyDescent="0.3">
      <c r="A370" s="2"/>
      <c r="B370" s="2"/>
      <c r="C370" s="2"/>
      <c r="D370" s="2"/>
      <c r="E370" s="2"/>
      <c r="F370" s="2"/>
      <c r="G370" s="2"/>
      <c r="H370" s="2"/>
    </row>
    <row r="371" spans="1:8" ht="15.7" customHeight="1" x14ac:dyDescent="0.3">
      <c r="A371" s="2"/>
      <c r="B371" s="2"/>
      <c r="C371" s="2"/>
      <c r="D371" s="2"/>
      <c r="E371" s="2"/>
      <c r="F371" s="2"/>
      <c r="G371" s="2"/>
      <c r="H371" s="2"/>
    </row>
    <row r="372" spans="1:8" ht="15.7" customHeight="1" x14ac:dyDescent="0.3">
      <c r="A372" s="2"/>
      <c r="B372" s="2"/>
      <c r="C372" s="2"/>
      <c r="D372" s="2"/>
      <c r="E372" s="2"/>
      <c r="F372" s="2"/>
      <c r="G372" s="2"/>
      <c r="H372" s="2"/>
    </row>
    <row r="373" spans="1:8" ht="15.7" customHeight="1" x14ac:dyDescent="0.3">
      <c r="A373" s="2"/>
      <c r="B373" s="2"/>
      <c r="C373" s="2"/>
      <c r="D373" s="2"/>
      <c r="E373" s="2"/>
      <c r="F373" s="2"/>
      <c r="G373" s="2"/>
      <c r="H373" s="2"/>
    </row>
    <row r="374" spans="1:8" ht="15.7" customHeight="1" x14ac:dyDescent="0.3">
      <c r="A374" s="2"/>
      <c r="B374" s="2"/>
      <c r="C374" s="2"/>
      <c r="D374" s="2"/>
      <c r="E374" s="2"/>
      <c r="F374" s="2"/>
      <c r="G374" s="2"/>
      <c r="H374" s="2"/>
    </row>
    <row r="375" spans="1:8" ht="15.7" customHeight="1" x14ac:dyDescent="0.3">
      <c r="A375" s="2"/>
      <c r="B375" s="2"/>
      <c r="C375" s="2"/>
      <c r="D375" s="2"/>
      <c r="E375" s="2"/>
      <c r="F375" s="2"/>
      <c r="G375" s="2"/>
      <c r="H375" s="2"/>
    </row>
    <row r="376" spans="1:8" ht="15.7" customHeight="1" x14ac:dyDescent="0.3">
      <c r="A376" s="2"/>
      <c r="B376" s="2"/>
      <c r="C376" s="2"/>
      <c r="D376" s="2"/>
      <c r="E376" s="2"/>
      <c r="F376" s="2"/>
      <c r="G376" s="2"/>
      <c r="H376" s="2"/>
    </row>
    <row r="377" spans="1:8" ht="15.7" customHeight="1" x14ac:dyDescent="0.3">
      <c r="A377" s="2"/>
      <c r="B377" s="2"/>
      <c r="C377" s="2"/>
      <c r="D377" s="2"/>
      <c r="E377" s="2"/>
      <c r="F377" s="2"/>
      <c r="G377" s="2"/>
      <c r="H377" s="2"/>
    </row>
    <row r="378" spans="1:8" ht="15.7" customHeight="1" x14ac:dyDescent="0.3">
      <c r="A378" s="2"/>
      <c r="B378" s="2"/>
      <c r="C378" s="2"/>
      <c r="D378" s="2"/>
      <c r="E378" s="2"/>
      <c r="F378" s="2"/>
      <c r="G378" s="2"/>
      <c r="H378" s="2"/>
    </row>
    <row r="379" spans="1:8" ht="15.7" customHeight="1" x14ac:dyDescent="0.3">
      <c r="A379" s="2"/>
      <c r="B379" s="2"/>
      <c r="C379" s="2"/>
      <c r="D379" s="2"/>
      <c r="E379" s="2"/>
      <c r="F379" s="2"/>
      <c r="G379" s="2"/>
      <c r="H379" s="2"/>
    </row>
    <row r="380" spans="1:8" ht="15.7" customHeight="1" x14ac:dyDescent="0.3">
      <c r="A380" s="2"/>
      <c r="B380" s="2"/>
      <c r="C380" s="2"/>
      <c r="D380" s="2"/>
      <c r="E380" s="2"/>
      <c r="F380" s="2"/>
      <c r="G380" s="2"/>
      <c r="H380" s="2"/>
    </row>
    <row r="381" spans="1:8" ht="15.7" customHeight="1" x14ac:dyDescent="0.3">
      <c r="A381" s="2"/>
      <c r="B381" s="2"/>
      <c r="C381" s="2"/>
      <c r="D381" s="2"/>
      <c r="E381" s="2"/>
      <c r="F381" s="2"/>
      <c r="G381" s="2"/>
      <c r="H381" s="2"/>
    </row>
    <row r="382" spans="1:8" ht="15.7" customHeight="1" x14ac:dyDescent="0.3">
      <c r="A382" s="2"/>
      <c r="B382" s="2"/>
      <c r="C382" s="2"/>
      <c r="D382" s="2"/>
      <c r="E382" s="2"/>
      <c r="F382" s="2"/>
      <c r="G382" s="2"/>
      <c r="H382" s="2"/>
    </row>
    <row r="383" spans="1:8" ht="15.7" customHeight="1" x14ac:dyDescent="0.3">
      <c r="A383" s="2"/>
      <c r="B383" s="2"/>
      <c r="C383" s="2"/>
      <c r="D383" s="2"/>
      <c r="E383" s="2"/>
      <c r="F383" s="2"/>
      <c r="G383" s="2"/>
      <c r="H383" s="2"/>
    </row>
    <row r="384" spans="1:8" ht="15.7" customHeight="1" x14ac:dyDescent="0.3">
      <c r="A384" s="2"/>
      <c r="B384" s="2"/>
      <c r="C384" s="2"/>
      <c r="D384" s="2"/>
      <c r="E384" s="2"/>
      <c r="F384" s="2"/>
      <c r="G384" s="2"/>
      <c r="H384" s="2"/>
    </row>
    <row r="385" spans="1:8" ht="15.7" customHeight="1" x14ac:dyDescent="0.3">
      <c r="A385" s="2"/>
      <c r="B385" s="2"/>
      <c r="C385" s="2"/>
      <c r="D385" s="2"/>
      <c r="E385" s="2"/>
      <c r="F385" s="2"/>
      <c r="G385" s="2"/>
      <c r="H385" s="2"/>
    </row>
    <row r="386" spans="1:8" ht="15.7" customHeight="1" x14ac:dyDescent="0.3">
      <c r="A386" s="2"/>
      <c r="B386" s="2"/>
      <c r="C386" s="2"/>
      <c r="D386" s="2"/>
      <c r="E386" s="2"/>
      <c r="F386" s="2"/>
      <c r="G386" s="2"/>
      <c r="H386" s="2"/>
    </row>
    <row r="387" spans="1:8" ht="15.7" customHeight="1" x14ac:dyDescent="0.3">
      <c r="A387" s="2"/>
      <c r="B387" s="2"/>
      <c r="C387" s="2"/>
      <c r="D387" s="2"/>
      <c r="E387" s="2"/>
      <c r="F387" s="2"/>
      <c r="G387" s="2"/>
      <c r="H387" s="2"/>
    </row>
    <row r="388" spans="1:8" ht="15.7" customHeight="1" x14ac:dyDescent="0.3">
      <c r="A388" s="2"/>
      <c r="B388" s="2"/>
      <c r="C388" s="2"/>
      <c r="D388" s="2"/>
      <c r="E388" s="2"/>
      <c r="F388" s="2"/>
      <c r="G388" s="2"/>
      <c r="H388" s="2"/>
    </row>
    <row r="389" spans="1:8" ht="15.7" customHeight="1" x14ac:dyDescent="0.3">
      <c r="A389" s="2"/>
      <c r="B389" s="2"/>
      <c r="C389" s="2"/>
      <c r="D389" s="2"/>
      <c r="E389" s="2"/>
      <c r="F389" s="2"/>
      <c r="G389" s="2"/>
      <c r="H389" s="2"/>
    </row>
    <row r="390" spans="1:8" ht="15.7" customHeight="1" x14ac:dyDescent="0.3">
      <c r="A390" s="2"/>
      <c r="B390" s="2"/>
      <c r="C390" s="2"/>
      <c r="D390" s="2"/>
      <c r="E390" s="2"/>
      <c r="F390" s="2"/>
      <c r="G390" s="2"/>
      <c r="H390" s="2"/>
    </row>
    <row r="391" spans="1:8" ht="15.7" customHeight="1" x14ac:dyDescent="0.3">
      <c r="A391" s="2"/>
      <c r="B391" s="2"/>
      <c r="C391" s="2"/>
      <c r="D391" s="2"/>
      <c r="E391" s="2"/>
      <c r="F391" s="2"/>
      <c r="G391" s="2"/>
      <c r="H391" s="2"/>
    </row>
    <row r="392" spans="1:8" ht="15.7" customHeight="1" x14ac:dyDescent="0.3">
      <c r="A392" s="2"/>
      <c r="B392" s="2"/>
      <c r="C392" s="2"/>
      <c r="D392" s="2"/>
      <c r="E392" s="2"/>
      <c r="F392" s="2"/>
      <c r="G392" s="2"/>
      <c r="H392" s="2"/>
    </row>
    <row r="393" spans="1:8" ht="15.7" customHeight="1" x14ac:dyDescent="0.3">
      <c r="A393" s="2"/>
      <c r="B393" s="2"/>
      <c r="C393" s="2"/>
      <c r="D393" s="2"/>
      <c r="E393" s="2"/>
      <c r="F393" s="2"/>
      <c r="G393" s="2"/>
      <c r="H393" s="2"/>
    </row>
    <row r="394" spans="1:8" ht="15.7" customHeight="1" x14ac:dyDescent="0.3">
      <c r="A394" s="2"/>
      <c r="B394" s="2"/>
      <c r="C394" s="2"/>
      <c r="D394" s="2"/>
      <c r="E394" s="2"/>
      <c r="F394" s="2"/>
      <c r="G394" s="2"/>
      <c r="H394" s="2"/>
    </row>
    <row r="395" spans="1:8" ht="15.7" customHeight="1" x14ac:dyDescent="0.3">
      <c r="A395" s="2"/>
      <c r="B395" s="2"/>
      <c r="C395" s="2"/>
      <c r="D395" s="2"/>
      <c r="E395" s="2"/>
      <c r="F395" s="2"/>
      <c r="G395" s="2"/>
      <c r="H395" s="2"/>
    </row>
    <row r="396" spans="1:8" ht="15.7" customHeight="1" x14ac:dyDescent="0.3">
      <c r="A396" s="2"/>
      <c r="B396" s="2"/>
      <c r="C396" s="2"/>
      <c r="D396" s="2"/>
      <c r="E396" s="2"/>
      <c r="F396" s="2"/>
      <c r="G396" s="2"/>
      <c r="H396" s="2"/>
    </row>
    <row r="397" spans="1:8" ht="15.7" customHeight="1" x14ac:dyDescent="0.3">
      <c r="A397" s="2"/>
      <c r="B397" s="2"/>
      <c r="C397" s="2"/>
      <c r="D397" s="2"/>
      <c r="E397" s="2"/>
      <c r="F397" s="2"/>
      <c r="G397" s="2"/>
      <c r="H397" s="2"/>
    </row>
    <row r="398" spans="1:8" ht="15.7" customHeight="1" x14ac:dyDescent="0.3">
      <c r="A398" s="2"/>
      <c r="B398" s="2"/>
      <c r="C398" s="2"/>
      <c r="D398" s="2"/>
      <c r="E398" s="2"/>
      <c r="F398" s="2"/>
      <c r="G398" s="2"/>
      <c r="H398" s="2"/>
    </row>
    <row r="399" spans="1:8" ht="15.7" customHeight="1" x14ac:dyDescent="0.3">
      <c r="A399" s="2"/>
      <c r="B399" s="2"/>
      <c r="C399" s="2"/>
      <c r="D399" s="2"/>
      <c r="E399" s="2"/>
      <c r="F399" s="2"/>
      <c r="G399" s="2"/>
      <c r="H399" s="2"/>
    </row>
    <row r="400" spans="1:8" ht="15.7" customHeight="1" x14ac:dyDescent="0.3">
      <c r="A400" s="2"/>
      <c r="B400" s="2"/>
      <c r="C400" s="2"/>
      <c r="D400" s="2"/>
      <c r="E400" s="2"/>
      <c r="F400" s="2"/>
      <c r="G400" s="2"/>
      <c r="H400" s="2"/>
    </row>
    <row r="401" spans="1:8" ht="15.7" customHeight="1" x14ac:dyDescent="0.3">
      <c r="A401" s="2"/>
      <c r="B401" s="2"/>
      <c r="C401" s="2"/>
      <c r="D401" s="2"/>
      <c r="E401" s="2"/>
      <c r="F401" s="2"/>
      <c r="G401" s="2"/>
      <c r="H401" s="2"/>
    </row>
    <row r="402" spans="1:8" ht="15.7" customHeight="1" x14ac:dyDescent="0.3">
      <c r="A402" s="2"/>
      <c r="B402" s="2"/>
      <c r="C402" s="2"/>
      <c r="D402" s="2"/>
      <c r="E402" s="2"/>
      <c r="F402" s="2"/>
      <c r="G402" s="2"/>
      <c r="H402" s="2"/>
    </row>
    <row r="403" spans="1:8" ht="15.7" customHeight="1" x14ac:dyDescent="0.3">
      <c r="A403" s="2"/>
      <c r="B403" s="2"/>
      <c r="C403" s="2"/>
      <c r="D403" s="2"/>
      <c r="E403" s="2"/>
      <c r="F403" s="2"/>
      <c r="G403" s="2"/>
      <c r="H403" s="2"/>
    </row>
    <row r="404" spans="1:8" ht="15.7" customHeight="1" x14ac:dyDescent="0.3">
      <c r="A404" s="2"/>
      <c r="B404" s="2"/>
      <c r="C404" s="2"/>
      <c r="D404" s="2"/>
      <c r="E404" s="2"/>
      <c r="F404" s="2"/>
      <c r="G404" s="2"/>
      <c r="H404" s="2"/>
    </row>
    <row r="405" spans="1:8" ht="15.7" customHeight="1" x14ac:dyDescent="0.3">
      <c r="A405" s="2"/>
      <c r="B405" s="2"/>
      <c r="C405" s="2"/>
      <c r="D405" s="2"/>
      <c r="E405" s="2"/>
      <c r="F405" s="2"/>
      <c r="G405" s="2"/>
      <c r="H405" s="2"/>
    </row>
    <row r="406" spans="1:8" ht="15.7" customHeight="1" x14ac:dyDescent="0.3">
      <c r="A406" s="2"/>
      <c r="B406" s="2"/>
      <c r="C406" s="2"/>
      <c r="D406" s="2"/>
      <c r="E406" s="2"/>
      <c r="F406" s="2"/>
      <c r="G406" s="2"/>
      <c r="H406" s="2"/>
    </row>
    <row r="407" spans="1:8" ht="15.7" customHeight="1" x14ac:dyDescent="0.3">
      <c r="A407" s="2"/>
      <c r="B407" s="2"/>
      <c r="C407" s="2"/>
      <c r="D407" s="2"/>
      <c r="E407" s="2"/>
      <c r="F407" s="2"/>
      <c r="G407" s="2"/>
      <c r="H407" s="2"/>
    </row>
    <row r="408" spans="1:8" ht="15.7" customHeight="1" x14ac:dyDescent="0.3">
      <c r="A408" s="2"/>
      <c r="B408" s="2"/>
      <c r="C408" s="2"/>
      <c r="D408" s="2"/>
      <c r="E408" s="2"/>
      <c r="F408" s="2"/>
      <c r="G408" s="2"/>
      <c r="H408" s="2"/>
    </row>
    <row r="409" spans="1:8" ht="15.7" customHeight="1" x14ac:dyDescent="0.3">
      <c r="A409" s="2"/>
      <c r="B409" s="2"/>
      <c r="C409" s="2"/>
      <c r="D409" s="2"/>
      <c r="E409" s="2"/>
      <c r="F409" s="2"/>
      <c r="G409" s="2"/>
      <c r="H409" s="2"/>
    </row>
    <row r="410" spans="1:8" ht="15.7" customHeight="1" x14ac:dyDescent="0.3">
      <c r="A410" s="2"/>
      <c r="B410" s="2"/>
      <c r="C410" s="2"/>
      <c r="D410" s="2"/>
      <c r="E410" s="2"/>
      <c r="F410" s="2"/>
      <c r="G410" s="2"/>
      <c r="H410" s="2"/>
    </row>
    <row r="411" spans="1:8" ht="15.7" customHeight="1" x14ac:dyDescent="0.3">
      <c r="A411" s="2"/>
      <c r="B411" s="2"/>
      <c r="C411" s="2"/>
      <c r="D411" s="2"/>
      <c r="E411" s="2"/>
      <c r="F411" s="2"/>
      <c r="G411" s="2"/>
      <c r="H411" s="2"/>
    </row>
    <row r="412" spans="1:8" ht="15.7" customHeight="1" x14ac:dyDescent="0.3">
      <c r="A412" s="2"/>
      <c r="B412" s="2"/>
      <c r="C412" s="2"/>
      <c r="D412" s="2"/>
      <c r="E412" s="2"/>
      <c r="F412" s="2"/>
      <c r="G412" s="2"/>
      <c r="H412" s="2"/>
    </row>
    <row r="413" spans="1:8" ht="15.7" customHeight="1" x14ac:dyDescent="0.3">
      <c r="A413" s="2"/>
      <c r="B413" s="2"/>
      <c r="C413" s="2"/>
      <c r="D413" s="2"/>
      <c r="E413" s="2"/>
      <c r="F413" s="2"/>
      <c r="G413" s="2"/>
      <c r="H413" s="2"/>
    </row>
    <row r="414" spans="1:8" ht="15.7" customHeight="1" x14ac:dyDescent="0.3">
      <c r="A414" s="2"/>
      <c r="B414" s="2"/>
      <c r="C414" s="2"/>
      <c r="D414" s="2"/>
      <c r="E414" s="2"/>
      <c r="F414" s="2"/>
      <c r="G414" s="2"/>
      <c r="H414" s="2"/>
    </row>
    <row r="415" spans="1:8" ht="15.7" customHeight="1" x14ac:dyDescent="0.3">
      <c r="A415" s="2"/>
      <c r="B415" s="2"/>
      <c r="C415" s="2"/>
      <c r="D415" s="2"/>
      <c r="E415" s="2"/>
      <c r="F415" s="2"/>
      <c r="G415" s="2"/>
      <c r="H415" s="2"/>
    </row>
    <row r="416" spans="1:8" ht="15.7" customHeight="1" x14ac:dyDescent="0.3">
      <c r="A416" s="2"/>
      <c r="B416" s="2"/>
      <c r="C416" s="2"/>
      <c r="D416" s="2"/>
      <c r="E416" s="2"/>
      <c r="F416" s="2"/>
      <c r="G416" s="2"/>
      <c r="H416" s="2"/>
    </row>
    <row r="417" spans="1:8" ht="15.7" customHeight="1" x14ac:dyDescent="0.3">
      <c r="A417" s="2"/>
      <c r="B417" s="2"/>
      <c r="C417" s="2"/>
      <c r="D417" s="2"/>
      <c r="E417" s="2"/>
      <c r="F417" s="2"/>
      <c r="G417" s="2"/>
      <c r="H417" s="2"/>
    </row>
    <row r="418" spans="1:8" ht="15.7" customHeight="1" x14ac:dyDescent="0.3">
      <c r="A418" s="2"/>
      <c r="B418" s="2"/>
      <c r="C418" s="2"/>
      <c r="D418" s="2"/>
      <c r="E418" s="2"/>
      <c r="F418" s="2"/>
      <c r="G418" s="2"/>
      <c r="H418" s="2"/>
    </row>
    <row r="419" spans="1:8" ht="15.7" customHeight="1" x14ac:dyDescent="0.3">
      <c r="A419" s="2"/>
      <c r="B419" s="2"/>
      <c r="C419" s="2"/>
      <c r="D419" s="2"/>
      <c r="E419" s="2"/>
      <c r="F419" s="2"/>
      <c r="G419" s="2"/>
      <c r="H419" s="2"/>
    </row>
    <row r="420" spans="1:8" ht="15.7" customHeight="1" x14ac:dyDescent="0.3">
      <c r="A420" s="2"/>
      <c r="B420" s="2"/>
      <c r="C420" s="2"/>
      <c r="D420" s="2"/>
      <c r="E420" s="2"/>
      <c r="F420" s="2"/>
      <c r="G420" s="2"/>
      <c r="H420" s="2"/>
    </row>
    <row r="421" spans="1:8" ht="15.7" customHeight="1" x14ac:dyDescent="0.3">
      <c r="A421" s="2"/>
      <c r="B421" s="2"/>
      <c r="C421" s="2"/>
      <c r="D421" s="2"/>
      <c r="E421" s="2"/>
      <c r="F421" s="2"/>
      <c r="G421" s="2"/>
      <c r="H421" s="2"/>
    </row>
    <row r="422" spans="1:8" ht="15.7" customHeight="1" x14ac:dyDescent="0.3">
      <c r="A422" s="2"/>
      <c r="B422" s="2"/>
      <c r="C422" s="2"/>
      <c r="D422" s="2"/>
      <c r="E422" s="2"/>
      <c r="F422" s="2"/>
      <c r="G422" s="2"/>
      <c r="H422" s="2"/>
    </row>
    <row r="423" spans="1:8" ht="15.7" customHeight="1" x14ac:dyDescent="0.3">
      <c r="A423" s="2"/>
      <c r="B423" s="2"/>
      <c r="C423" s="2"/>
      <c r="D423" s="2"/>
      <c r="E423" s="2"/>
      <c r="F423" s="2"/>
      <c r="G423" s="2"/>
      <c r="H423" s="2"/>
    </row>
    <row r="424" spans="1:8" ht="15.7" customHeight="1" x14ac:dyDescent="0.3">
      <c r="A424" s="2"/>
      <c r="B424" s="2"/>
      <c r="C424" s="2"/>
      <c r="D424" s="2"/>
      <c r="E424" s="2"/>
      <c r="F424" s="2"/>
      <c r="G424" s="2"/>
      <c r="H424" s="2"/>
    </row>
    <row r="425" spans="1:8" ht="15.7" customHeight="1" x14ac:dyDescent="0.3">
      <c r="A425" s="2"/>
      <c r="B425" s="2"/>
      <c r="C425" s="2"/>
      <c r="D425" s="2"/>
      <c r="E425" s="2"/>
      <c r="F425" s="2"/>
      <c r="G425" s="2"/>
      <c r="H425" s="2"/>
    </row>
    <row r="426" spans="1:8" ht="15.7" customHeight="1" x14ac:dyDescent="0.3">
      <c r="A426" s="2"/>
      <c r="B426" s="2"/>
      <c r="C426" s="2"/>
      <c r="D426" s="2"/>
      <c r="E426" s="2"/>
      <c r="F426" s="2"/>
      <c r="G426" s="2"/>
      <c r="H426" s="2"/>
    </row>
    <row r="427" spans="1:8" ht="15.7" customHeight="1" x14ac:dyDescent="0.3">
      <c r="A427" s="2"/>
      <c r="B427" s="2"/>
      <c r="C427" s="2"/>
      <c r="D427" s="2"/>
      <c r="E427" s="2"/>
      <c r="F427" s="2"/>
      <c r="G427" s="2"/>
      <c r="H427" s="2"/>
    </row>
    <row r="428" spans="1:8" ht="15.7" customHeight="1" x14ac:dyDescent="0.3">
      <c r="A428" s="2"/>
      <c r="B428" s="2"/>
      <c r="C428" s="2"/>
      <c r="D428" s="2"/>
      <c r="E428" s="2"/>
      <c r="F428" s="2"/>
      <c r="G428" s="2"/>
      <c r="H428" s="2"/>
    </row>
    <row r="429" spans="1:8" ht="15.7" customHeight="1" x14ac:dyDescent="0.3">
      <c r="A429" s="2"/>
      <c r="B429" s="2"/>
      <c r="C429" s="2"/>
      <c r="D429" s="2"/>
      <c r="E429" s="2"/>
      <c r="F429" s="2"/>
      <c r="G429" s="2"/>
      <c r="H429" s="2"/>
    </row>
    <row r="430" spans="1:8" ht="15.7" customHeight="1" x14ac:dyDescent="0.3">
      <c r="A430" s="2"/>
      <c r="B430" s="2"/>
      <c r="C430" s="2"/>
      <c r="D430" s="2"/>
      <c r="E430" s="2"/>
      <c r="F430" s="2"/>
      <c r="G430" s="2"/>
      <c r="H430" s="2"/>
    </row>
    <row r="431" spans="1:8" ht="15.7" customHeight="1" x14ac:dyDescent="0.3">
      <c r="A431" s="2"/>
      <c r="B431" s="2"/>
      <c r="C431" s="2"/>
      <c r="D431" s="2"/>
      <c r="E431" s="2"/>
      <c r="F431" s="2"/>
      <c r="G431" s="2"/>
      <c r="H431" s="2"/>
    </row>
    <row r="432" spans="1:8" ht="15.7" customHeight="1" x14ac:dyDescent="0.3">
      <c r="A432" s="2"/>
      <c r="B432" s="2"/>
      <c r="C432" s="2"/>
      <c r="D432" s="2"/>
      <c r="E432" s="2"/>
      <c r="F432" s="2"/>
      <c r="G432" s="2"/>
      <c r="H432" s="2"/>
    </row>
    <row r="433" spans="1:8" ht="15.7" customHeight="1" x14ac:dyDescent="0.3">
      <c r="A433" s="2"/>
      <c r="B433" s="2"/>
      <c r="C433" s="2"/>
      <c r="D433" s="2"/>
      <c r="E433" s="2"/>
      <c r="F433" s="2"/>
      <c r="G433" s="2"/>
      <c r="H433" s="2"/>
    </row>
    <row r="434" spans="1:8" ht="15.7" customHeight="1" x14ac:dyDescent="0.3">
      <c r="A434" s="2"/>
      <c r="B434" s="2"/>
      <c r="C434" s="2"/>
      <c r="D434" s="2"/>
      <c r="E434" s="2"/>
      <c r="F434" s="2"/>
      <c r="G434" s="2"/>
      <c r="H434" s="2"/>
    </row>
    <row r="435" spans="1:8" ht="15.7" customHeight="1" x14ac:dyDescent="0.3">
      <c r="A435" s="2"/>
      <c r="B435" s="2"/>
      <c r="C435" s="2"/>
      <c r="D435" s="2"/>
      <c r="E435" s="2"/>
      <c r="F435" s="2"/>
      <c r="G435" s="2"/>
      <c r="H435" s="2"/>
    </row>
    <row r="436" spans="1:8" ht="15.7" customHeight="1" x14ac:dyDescent="0.3">
      <c r="A436" s="2"/>
      <c r="B436" s="2"/>
      <c r="C436" s="2"/>
      <c r="D436" s="2"/>
      <c r="E436" s="2"/>
      <c r="F436" s="2"/>
      <c r="G436" s="2"/>
      <c r="H436" s="2"/>
    </row>
    <row r="437" spans="1:8" ht="15.7" customHeight="1" x14ac:dyDescent="0.3">
      <c r="A437" s="2"/>
      <c r="B437" s="2"/>
      <c r="C437" s="2"/>
      <c r="D437" s="2"/>
      <c r="E437" s="2"/>
      <c r="F437" s="2"/>
      <c r="G437" s="2"/>
      <c r="H437" s="2"/>
    </row>
    <row r="438" spans="1:8" ht="15.7" customHeight="1" x14ac:dyDescent="0.3">
      <c r="A438" s="2"/>
      <c r="B438" s="2"/>
      <c r="C438" s="2"/>
      <c r="D438" s="2"/>
      <c r="E438" s="2"/>
      <c r="F438" s="2"/>
      <c r="G438" s="2"/>
      <c r="H438" s="2"/>
    </row>
    <row r="439" spans="1:8" ht="15.7" customHeight="1" x14ac:dyDescent="0.3">
      <c r="A439" s="2"/>
      <c r="B439" s="2"/>
      <c r="C439" s="2"/>
      <c r="D439" s="2"/>
      <c r="E439" s="2"/>
      <c r="F439" s="2"/>
      <c r="G439" s="2"/>
      <c r="H439" s="2"/>
    </row>
    <row r="440" spans="1:8" ht="15.7" customHeight="1" x14ac:dyDescent="0.3">
      <c r="A440" s="2"/>
      <c r="B440" s="2"/>
      <c r="C440" s="2"/>
      <c r="D440" s="2"/>
      <c r="E440" s="2"/>
      <c r="F440" s="2"/>
      <c r="G440" s="2"/>
      <c r="H440" s="2"/>
    </row>
    <row r="441" spans="1:8" ht="15.7" customHeight="1" x14ac:dyDescent="0.3">
      <c r="A441" s="2"/>
      <c r="B441" s="2"/>
      <c r="C441" s="2"/>
      <c r="D441" s="2"/>
      <c r="E441" s="2"/>
      <c r="F441" s="2"/>
      <c r="G441" s="2"/>
      <c r="H441" s="2"/>
    </row>
    <row r="442" spans="1:8" ht="15.7" customHeight="1" x14ac:dyDescent="0.3">
      <c r="A442" s="2"/>
      <c r="B442" s="2"/>
      <c r="C442" s="2"/>
      <c r="D442" s="2"/>
      <c r="E442" s="2"/>
      <c r="F442" s="2"/>
      <c r="G442" s="2"/>
      <c r="H442" s="2"/>
    </row>
    <row r="443" spans="1:8" ht="15.7" customHeight="1" x14ac:dyDescent="0.3">
      <c r="A443" s="2"/>
      <c r="B443" s="2"/>
      <c r="C443" s="2"/>
      <c r="D443" s="2"/>
      <c r="E443" s="2"/>
      <c r="F443" s="2"/>
      <c r="G443" s="2"/>
      <c r="H443" s="2"/>
    </row>
    <row r="444" spans="1:8" ht="15.7" customHeight="1" x14ac:dyDescent="0.3">
      <c r="A444" s="2"/>
      <c r="B444" s="2"/>
      <c r="C444" s="2"/>
      <c r="D444" s="2"/>
      <c r="E444" s="2"/>
      <c r="F444" s="2"/>
      <c r="G444" s="2"/>
      <c r="H444" s="2"/>
    </row>
    <row r="445" spans="1:8" ht="15.7" customHeight="1" x14ac:dyDescent="0.3">
      <c r="A445" s="2"/>
      <c r="B445" s="2"/>
      <c r="C445" s="2"/>
      <c r="D445" s="2"/>
      <c r="E445" s="2"/>
      <c r="F445" s="2"/>
      <c r="G445" s="2"/>
      <c r="H445" s="2"/>
    </row>
    <row r="446" spans="1:8" ht="15.7" customHeight="1" x14ac:dyDescent="0.3">
      <c r="A446" s="2"/>
      <c r="B446" s="2"/>
      <c r="C446" s="2"/>
      <c r="D446" s="2"/>
      <c r="E446" s="2"/>
      <c r="F446" s="2"/>
      <c r="G446" s="2"/>
      <c r="H446" s="2"/>
    </row>
    <row r="447" spans="1:8" ht="15.7" customHeight="1" x14ac:dyDescent="0.3">
      <c r="A447" s="2"/>
      <c r="B447" s="2"/>
      <c r="C447" s="2"/>
      <c r="D447" s="2"/>
      <c r="E447" s="2"/>
      <c r="F447" s="2"/>
      <c r="G447" s="2"/>
      <c r="H447" s="2"/>
    </row>
    <row r="448" spans="1:8" ht="15.7" customHeight="1" x14ac:dyDescent="0.3">
      <c r="A448" s="2"/>
      <c r="B448" s="2"/>
      <c r="C448" s="2"/>
      <c r="D448" s="2"/>
      <c r="E448" s="2"/>
      <c r="F448" s="2"/>
      <c r="G448" s="2"/>
      <c r="H448" s="2"/>
    </row>
    <row r="449" spans="1:8" ht="15.7" customHeight="1" x14ac:dyDescent="0.3">
      <c r="A449" s="2"/>
      <c r="B449" s="2"/>
      <c r="C449" s="2"/>
      <c r="D449" s="2"/>
      <c r="E449" s="2"/>
      <c r="F449" s="2"/>
      <c r="G449" s="2"/>
      <c r="H449" s="2"/>
    </row>
    <row r="450" spans="1:8" ht="15.7" customHeight="1" x14ac:dyDescent="0.3">
      <c r="A450" s="2"/>
      <c r="B450" s="2"/>
      <c r="C450" s="2"/>
      <c r="D450" s="2"/>
      <c r="E450" s="2"/>
      <c r="F450" s="2"/>
      <c r="G450" s="2"/>
      <c r="H450" s="2"/>
    </row>
    <row r="451" spans="1:8" ht="15.7" customHeight="1" x14ac:dyDescent="0.3">
      <c r="A451" s="2"/>
      <c r="B451" s="2"/>
      <c r="C451" s="2"/>
      <c r="D451" s="2"/>
      <c r="E451" s="2"/>
      <c r="F451" s="2"/>
      <c r="G451" s="2"/>
      <c r="H451" s="2"/>
    </row>
    <row r="452" spans="1:8" ht="15.7" customHeight="1" x14ac:dyDescent="0.3">
      <c r="A452" s="2"/>
      <c r="B452" s="2"/>
      <c r="C452" s="2"/>
      <c r="D452" s="2"/>
      <c r="E452" s="2"/>
      <c r="F452" s="2"/>
      <c r="G452" s="2"/>
      <c r="H452" s="2"/>
    </row>
    <row r="453" spans="1:8" ht="15.7" customHeight="1" x14ac:dyDescent="0.3">
      <c r="A453" s="2"/>
      <c r="B453" s="2"/>
      <c r="C453" s="2"/>
      <c r="D453" s="2"/>
      <c r="E453" s="2"/>
      <c r="F453" s="2"/>
      <c r="G453" s="2"/>
      <c r="H453" s="2"/>
    </row>
    <row r="454" spans="1:8" ht="15.7" customHeight="1" x14ac:dyDescent="0.3">
      <c r="A454" s="2"/>
      <c r="B454" s="2"/>
      <c r="C454" s="2"/>
      <c r="D454" s="2"/>
      <c r="E454" s="2"/>
      <c r="F454" s="2"/>
      <c r="G454" s="2"/>
      <c r="H454" s="2"/>
    </row>
    <row r="455" spans="1:8" ht="15.7" customHeight="1" x14ac:dyDescent="0.3">
      <c r="A455" s="2"/>
      <c r="B455" s="2"/>
      <c r="C455" s="2"/>
      <c r="D455" s="2"/>
      <c r="E455" s="2"/>
      <c r="F455" s="2"/>
      <c r="G455" s="2"/>
      <c r="H455" s="2"/>
    </row>
    <row r="456" spans="1:8" ht="15.7" customHeight="1" x14ac:dyDescent="0.3">
      <c r="A456" s="2"/>
      <c r="B456" s="2"/>
      <c r="C456" s="2"/>
      <c r="D456" s="2"/>
      <c r="E456" s="2"/>
      <c r="F456" s="2"/>
      <c r="G456" s="2"/>
      <c r="H456" s="2"/>
    </row>
    <row r="457" spans="1:8" ht="15.7" customHeight="1" x14ac:dyDescent="0.3">
      <c r="A457" s="2"/>
      <c r="B457" s="2"/>
      <c r="C457" s="2"/>
      <c r="D457" s="2"/>
      <c r="E457" s="2"/>
      <c r="F457" s="2"/>
      <c r="G457" s="2"/>
      <c r="H457" s="2"/>
    </row>
    <row r="458" spans="1:8" ht="15.7" customHeight="1" x14ac:dyDescent="0.3">
      <c r="A458" s="2"/>
      <c r="B458" s="2"/>
      <c r="C458" s="2"/>
      <c r="D458" s="2"/>
      <c r="E458" s="2"/>
      <c r="F458" s="2"/>
      <c r="G458" s="2"/>
      <c r="H458" s="2"/>
    </row>
    <row r="459" spans="1:8" ht="15.7" customHeight="1" x14ac:dyDescent="0.3">
      <c r="A459" s="2"/>
      <c r="B459" s="2"/>
      <c r="C459" s="2"/>
      <c r="D459" s="2"/>
      <c r="E459" s="2"/>
      <c r="F459" s="2"/>
      <c r="G459" s="2"/>
      <c r="H459" s="2"/>
    </row>
    <row r="460" spans="1:8" ht="15.7" customHeight="1" x14ac:dyDescent="0.3">
      <c r="A460" s="2"/>
      <c r="B460" s="2"/>
      <c r="C460" s="2"/>
      <c r="D460" s="2"/>
      <c r="E460" s="2"/>
      <c r="F460" s="2"/>
      <c r="G460" s="2"/>
      <c r="H460" s="2"/>
    </row>
    <row r="461" spans="1:8" ht="15.7" customHeight="1" x14ac:dyDescent="0.3">
      <c r="A461" s="2"/>
      <c r="B461" s="2"/>
      <c r="C461" s="2"/>
      <c r="D461" s="2"/>
      <c r="E461" s="2"/>
      <c r="F461" s="2"/>
      <c r="G461" s="2"/>
      <c r="H461" s="2"/>
    </row>
    <row r="462" spans="1:8" ht="15.7" customHeight="1" x14ac:dyDescent="0.3">
      <c r="A462" s="2"/>
      <c r="B462" s="2"/>
      <c r="C462" s="2"/>
      <c r="D462" s="2"/>
      <c r="E462" s="2"/>
      <c r="F462" s="2"/>
      <c r="G462" s="2"/>
      <c r="H462" s="2"/>
    </row>
    <row r="463" spans="1:8" ht="15.7" customHeight="1" x14ac:dyDescent="0.3">
      <c r="A463" s="2"/>
      <c r="B463" s="2"/>
      <c r="C463" s="2"/>
      <c r="D463" s="2"/>
      <c r="E463" s="2"/>
      <c r="F463" s="2"/>
      <c r="G463" s="2"/>
      <c r="H463" s="2"/>
    </row>
    <row r="464" spans="1:8" ht="15.7" customHeight="1" x14ac:dyDescent="0.3">
      <c r="A464" s="2"/>
      <c r="B464" s="2"/>
      <c r="C464" s="2"/>
      <c r="D464" s="2"/>
      <c r="E464" s="2"/>
      <c r="F464" s="2"/>
      <c r="G464" s="2"/>
      <c r="H464" s="2"/>
    </row>
    <row r="465" spans="1:8" ht="15.7" customHeight="1" x14ac:dyDescent="0.3">
      <c r="A465" s="2"/>
      <c r="B465" s="2"/>
      <c r="C465" s="2"/>
      <c r="D465" s="2"/>
      <c r="E465" s="2"/>
      <c r="F465" s="2"/>
      <c r="G465" s="2"/>
      <c r="H465" s="2"/>
    </row>
    <row r="466" spans="1:8" ht="15.7" customHeight="1" x14ac:dyDescent="0.3">
      <c r="A466" s="2"/>
      <c r="B466" s="2"/>
      <c r="C466" s="2"/>
      <c r="D466" s="2"/>
      <c r="E466" s="2"/>
      <c r="F466" s="2"/>
      <c r="G466" s="2"/>
      <c r="H466" s="2"/>
    </row>
    <row r="467" spans="1:8" ht="15.7" customHeight="1" x14ac:dyDescent="0.3">
      <c r="A467" s="2"/>
      <c r="B467" s="2"/>
      <c r="C467" s="2"/>
      <c r="D467" s="2"/>
      <c r="E467" s="2"/>
      <c r="F467" s="2"/>
      <c r="G467" s="2"/>
      <c r="H467" s="2"/>
    </row>
    <row r="468" spans="1:8" ht="15.7" customHeight="1" x14ac:dyDescent="0.3">
      <c r="A468" s="2"/>
      <c r="B468" s="2"/>
      <c r="C468" s="2"/>
      <c r="D468" s="2"/>
      <c r="E468" s="2"/>
      <c r="F468" s="2"/>
      <c r="G468" s="2"/>
      <c r="H468" s="2"/>
    </row>
    <row r="469" spans="1:8" ht="15.7" customHeight="1" x14ac:dyDescent="0.3">
      <c r="A469" s="2"/>
      <c r="B469" s="2"/>
      <c r="C469" s="2"/>
      <c r="D469" s="2"/>
      <c r="E469" s="2"/>
      <c r="F469" s="2"/>
      <c r="G469" s="2"/>
      <c r="H469" s="2"/>
    </row>
    <row r="470" spans="1:8" ht="15.7" customHeight="1" x14ac:dyDescent="0.3">
      <c r="A470" s="2"/>
      <c r="B470" s="2"/>
      <c r="C470" s="2"/>
      <c r="D470" s="2"/>
      <c r="E470" s="2"/>
      <c r="F470" s="2"/>
      <c r="G470" s="2"/>
      <c r="H470" s="2"/>
    </row>
    <row r="471" spans="1:8" ht="15.7" customHeight="1" x14ac:dyDescent="0.3">
      <c r="A471" s="2"/>
      <c r="B471" s="2"/>
      <c r="C471" s="2"/>
      <c r="D471" s="2"/>
      <c r="E471" s="2"/>
      <c r="F471" s="2"/>
      <c r="G471" s="2"/>
      <c r="H471" s="2"/>
    </row>
    <row r="472" spans="1:8" ht="15.7" customHeight="1" x14ac:dyDescent="0.3">
      <c r="A472" s="2"/>
      <c r="B472" s="2"/>
      <c r="C472" s="2"/>
      <c r="D472" s="2"/>
      <c r="E472" s="2"/>
      <c r="F472" s="2"/>
      <c r="G472" s="2"/>
      <c r="H472" s="2"/>
    </row>
    <row r="473" spans="1:8" ht="15.7" customHeight="1" x14ac:dyDescent="0.3">
      <c r="A473" s="2"/>
      <c r="B473" s="2"/>
      <c r="C473" s="2"/>
      <c r="D473" s="2"/>
      <c r="E473" s="2"/>
      <c r="F473" s="2"/>
      <c r="G473" s="2"/>
      <c r="H473" s="2"/>
    </row>
    <row r="474" spans="1:8" ht="15.7" customHeight="1" x14ac:dyDescent="0.3">
      <c r="A474" s="2"/>
      <c r="B474" s="2"/>
      <c r="C474" s="2"/>
      <c r="D474" s="2"/>
      <c r="E474" s="2"/>
      <c r="F474" s="2"/>
      <c r="G474" s="2"/>
      <c r="H474" s="2"/>
    </row>
    <row r="475" spans="1:8" ht="15.7" customHeight="1" x14ac:dyDescent="0.3">
      <c r="A475" s="2"/>
      <c r="B475" s="2"/>
      <c r="C475" s="2"/>
      <c r="D475" s="2"/>
      <c r="E475" s="2"/>
      <c r="F475" s="2"/>
      <c r="G475" s="2"/>
      <c r="H475" s="2"/>
    </row>
    <row r="476" spans="1:8" ht="15.7" customHeight="1" x14ac:dyDescent="0.3">
      <c r="A476" s="2"/>
      <c r="B476" s="2"/>
      <c r="C476" s="2"/>
      <c r="D476" s="2"/>
      <c r="E476" s="2"/>
      <c r="F476" s="2"/>
      <c r="G476" s="2"/>
      <c r="H476" s="2"/>
    </row>
    <row r="477" spans="1:8" ht="15.7" customHeight="1" x14ac:dyDescent="0.3">
      <c r="A477" s="2"/>
      <c r="B477" s="2"/>
      <c r="C477" s="2"/>
      <c r="D477" s="2"/>
      <c r="E477" s="2"/>
      <c r="F477" s="2"/>
      <c r="G477" s="2"/>
      <c r="H477" s="2"/>
    </row>
    <row r="478" spans="1:8" ht="15.7" customHeight="1" x14ac:dyDescent="0.3">
      <c r="A478" s="2"/>
      <c r="B478" s="2"/>
      <c r="C478" s="2"/>
      <c r="D478" s="2"/>
      <c r="E478" s="2"/>
      <c r="F478" s="2"/>
      <c r="G478" s="2"/>
      <c r="H478" s="2"/>
    </row>
    <row r="479" spans="1:8" ht="15.7" customHeight="1" x14ac:dyDescent="0.3">
      <c r="A479" s="2"/>
      <c r="B479" s="2"/>
      <c r="C479" s="2"/>
      <c r="D479" s="2"/>
      <c r="E479" s="2"/>
      <c r="F479" s="2"/>
      <c r="G479" s="2"/>
      <c r="H479" s="2"/>
    </row>
    <row r="480" spans="1:8" ht="15.7" customHeight="1" x14ac:dyDescent="0.3">
      <c r="A480" s="2"/>
      <c r="B480" s="2"/>
      <c r="C480" s="2"/>
      <c r="D480" s="2"/>
      <c r="E480" s="2"/>
      <c r="F480" s="2"/>
      <c r="G480" s="2"/>
      <c r="H480" s="2"/>
    </row>
    <row r="481" spans="1:8" ht="15.7" customHeight="1" x14ac:dyDescent="0.3">
      <c r="A481" s="2"/>
      <c r="B481" s="2"/>
      <c r="C481" s="2"/>
      <c r="D481" s="2"/>
      <c r="E481" s="2"/>
      <c r="F481" s="2"/>
      <c r="G481" s="2"/>
      <c r="H481" s="2"/>
    </row>
    <row r="482" spans="1:8" ht="15.7" customHeight="1" x14ac:dyDescent="0.3">
      <c r="A482" s="2"/>
      <c r="B482" s="2"/>
      <c r="C482" s="2"/>
      <c r="D482" s="2"/>
      <c r="E482" s="2"/>
      <c r="F482" s="2"/>
      <c r="G482" s="2"/>
      <c r="H482" s="2"/>
    </row>
    <row r="483" spans="1:8" ht="15.7" customHeight="1" x14ac:dyDescent="0.3">
      <c r="A483" s="2"/>
      <c r="B483" s="2"/>
      <c r="C483" s="2"/>
      <c r="D483" s="2"/>
      <c r="E483" s="2"/>
      <c r="F483" s="2"/>
      <c r="G483" s="2"/>
      <c r="H483" s="2"/>
    </row>
    <row r="484" spans="1:8" ht="15.7" customHeight="1" x14ac:dyDescent="0.3">
      <c r="A484" s="2"/>
      <c r="B484" s="2"/>
      <c r="C484" s="2"/>
      <c r="D484" s="2"/>
      <c r="E484" s="2"/>
      <c r="F484" s="2"/>
      <c r="G484" s="2"/>
      <c r="H484" s="2"/>
    </row>
    <row r="485" spans="1:8" ht="15.7" customHeight="1" x14ac:dyDescent="0.3">
      <c r="A485" s="2"/>
      <c r="B485" s="2"/>
      <c r="C485" s="2"/>
      <c r="D485" s="2"/>
      <c r="E485" s="2"/>
      <c r="F485" s="2"/>
      <c r="G485" s="2"/>
      <c r="H485" s="2"/>
    </row>
    <row r="486" spans="1:8" ht="15.7" customHeight="1" x14ac:dyDescent="0.3">
      <c r="A486" s="2"/>
      <c r="B486" s="2"/>
      <c r="C486" s="2"/>
      <c r="D486" s="2"/>
      <c r="E486" s="2"/>
      <c r="F486" s="2"/>
      <c r="G486" s="2"/>
      <c r="H486" s="2"/>
    </row>
    <row r="487" spans="1:8" ht="15.7" customHeight="1" x14ac:dyDescent="0.3">
      <c r="A487" s="2"/>
      <c r="B487" s="2"/>
      <c r="C487" s="2"/>
      <c r="D487" s="2"/>
      <c r="E487" s="2"/>
      <c r="F487" s="2"/>
      <c r="G487" s="2"/>
      <c r="H487" s="2"/>
    </row>
    <row r="488" spans="1:8" ht="15.7" customHeight="1" x14ac:dyDescent="0.3">
      <c r="A488" s="2"/>
      <c r="B488" s="2"/>
      <c r="C488" s="2"/>
      <c r="D488" s="2"/>
      <c r="E488" s="2"/>
      <c r="F488" s="2"/>
      <c r="G488" s="2"/>
      <c r="H488" s="2"/>
    </row>
    <row r="489" spans="1:8" ht="15.7" customHeight="1" x14ac:dyDescent="0.3">
      <c r="A489" s="2"/>
      <c r="B489" s="2"/>
      <c r="C489" s="2"/>
      <c r="D489" s="2"/>
      <c r="E489" s="2"/>
      <c r="F489" s="2"/>
      <c r="G489" s="2"/>
      <c r="H489" s="2"/>
    </row>
    <row r="490" spans="1:8" ht="15.7" customHeight="1" x14ac:dyDescent="0.3">
      <c r="A490" s="2"/>
      <c r="B490" s="2"/>
      <c r="C490" s="2"/>
      <c r="D490" s="2"/>
      <c r="E490" s="2"/>
      <c r="F490" s="2"/>
      <c r="G490" s="2"/>
      <c r="H490" s="2"/>
    </row>
    <row r="491" spans="1:8" ht="15.7" customHeight="1" x14ac:dyDescent="0.3">
      <c r="A491" s="2"/>
      <c r="B491" s="2"/>
      <c r="C491" s="2"/>
      <c r="D491" s="2"/>
      <c r="E491" s="2"/>
      <c r="F491" s="2"/>
      <c r="G491" s="2"/>
      <c r="H491" s="2"/>
    </row>
    <row r="492" spans="1:8" ht="15.7" customHeight="1" x14ac:dyDescent="0.3">
      <c r="A492" s="2"/>
      <c r="B492" s="2"/>
      <c r="C492" s="2"/>
      <c r="D492" s="2"/>
      <c r="E492" s="2"/>
      <c r="F492" s="2"/>
      <c r="G492" s="2"/>
      <c r="H492" s="2"/>
    </row>
    <row r="493" spans="1:8" ht="15.7" customHeight="1" x14ac:dyDescent="0.3">
      <c r="A493" s="2"/>
      <c r="B493" s="2"/>
      <c r="C493" s="2"/>
      <c r="D493" s="2"/>
      <c r="E493" s="2"/>
      <c r="F493" s="2"/>
      <c r="G493" s="2"/>
      <c r="H493" s="2"/>
    </row>
    <row r="494" spans="1:8" ht="15.7" customHeight="1" x14ac:dyDescent="0.3">
      <c r="A494" s="2"/>
      <c r="B494" s="2"/>
      <c r="C494" s="2"/>
      <c r="D494" s="2"/>
      <c r="E494" s="2"/>
      <c r="F494" s="2"/>
      <c r="G494" s="2"/>
      <c r="H494" s="2"/>
    </row>
    <row r="495" spans="1:8" ht="15.7" customHeight="1" x14ac:dyDescent="0.3">
      <c r="A495" s="2"/>
      <c r="B495" s="2"/>
      <c r="C495" s="2"/>
      <c r="D495" s="2"/>
      <c r="E495" s="2"/>
      <c r="F495" s="2"/>
      <c r="G495" s="2"/>
      <c r="H495" s="2"/>
    </row>
    <row r="496" spans="1:8" ht="15.7" customHeight="1" x14ac:dyDescent="0.3">
      <c r="A496" s="2"/>
      <c r="B496" s="2"/>
      <c r="C496" s="2"/>
      <c r="D496" s="2"/>
      <c r="E496" s="2"/>
      <c r="F496" s="2"/>
      <c r="G496" s="2"/>
      <c r="H496" s="2"/>
    </row>
    <row r="497" spans="1:8" ht="15.7" customHeight="1" x14ac:dyDescent="0.3">
      <c r="A497" s="2"/>
      <c r="B497" s="2"/>
      <c r="C497" s="2"/>
      <c r="D497" s="2"/>
      <c r="E497" s="2"/>
      <c r="F497" s="2"/>
      <c r="G497" s="2"/>
      <c r="H497" s="2"/>
    </row>
    <row r="498" spans="1:8" ht="15.7" customHeight="1" x14ac:dyDescent="0.3">
      <c r="A498" s="2"/>
      <c r="B498" s="2"/>
      <c r="C498" s="2"/>
      <c r="D498" s="2"/>
      <c r="E498" s="2"/>
      <c r="F498" s="2"/>
      <c r="G498" s="2"/>
      <c r="H498" s="2"/>
    </row>
    <row r="499" spans="1:8" ht="15.7" customHeight="1" x14ac:dyDescent="0.3">
      <c r="A499" s="2"/>
      <c r="B499" s="2"/>
      <c r="C499" s="2"/>
      <c r="D499" s="2"/>
      <c r="E499" s="2"/>
      <c r="F499" s="2"/>
      <c r="G499" s="2"/>
      <c r="H499" s="2"/>
    </row>
    <row r="500" spans="1:8" ht="15.7" customHeight="1" x14ac:dyDescent="0.3">
      <c r="A500" s="2"/>
      <c r="B500" s="2"/>
      <c r="C500" s="2"/>
      <c r="D500" s="2"/>
      <c r="E500" s="2"/>
      <c r="F500" s="2"/>
      <c r="G500" s="2"/>
      <c r="H500" s="2"/>
    </row>
    <row r="501" spans="1:8" ht="15.7" customHeight="1" x14ac:dyDescent="0.3">
      <c r="A501" s="2"/>
      <c r="B501" s="2"/>
      <c r="C501" s="2"/>
      <c r="D501" s="2"/>
      <c r="E501" s="2"/>
      <c r="F501" s="2"/>
      <c r="G501" s="2"/>
      <c r="H501" s="2"/>
    </row>
    <row r="502" spans="1:8" ht="15.7" customHeight="1" x14ac:dyDescent="0.3">
      <c r="A502" s="2"/>
      <c r="B502" s="2"/>
      <c r="C502" s="2"/>
      <c r="D502" s="2"/>
      <c r="E502" s="2"/>
      <c r="F502" s="2"/>
      <c r="G502" s="2"/>
      <c r="H502" s="2"/>
    </row>
    <row r="503" spans="1:8" ht="15.7" customHeight="1" x14ac:dyDescent="0.3">
      <c r="A503" s="2"/>
      <c r="B503" s="2"/>
      <c r="C503" s="2"/>
      <c r="D503" s="2"/>
      <c r="E503" s="2"/>
      <c r="F503" s="2"/>
      <c r="G503" s="2"/>
      <c r="H503" s="2"/>
    </row>
    <row r="504" spans="1:8" ht="15.7" customHeight="1" x14ac:dyDescent="0.3">
      <c r="A504" s="2"/>
      <c r="B504" s="2"/>
      <c r="C504" s="2"/>
      <c r="D504" s="2"/>
      <c r="E504" s="2"/>
      <c r="F504" s="2"/>
      <c r="G504" s="2"/>
      <c r="H504" s="2"/>
    </row>
    <row r="505" spans="1:8" ht="15.7" customHeight="1" x14ac:dyDescent="0.3">
      <c r="A505" s="2"/>
      <c r="B505" s="2"/>
      <c r="C505" s="2"/>
      <c r="D505" s="2"/>
      <c r="E505" s="2"/>
      <c r="F505" s="2"/>
      <c r="G505" s="2"/>
      <c r="H505" s="2"/>
    </row>
    <row r="506" spans="1:8" ht="15.7" customHeight="1" x14ac:dyDescent="0.3">
      <c r="A506" s="2"/>
      <c r="B506" s="2"/>
      <c r="C506" s="2"/>
      <c r="D506" s="2"/>
      <c r="E506" s="2"/>
      <c r="F506" s="2"/>
      <c r="G506" s="2"/>
      <c r="H506" s="2"/>
    </row>
    <row r="507" spans="1:8" ht="15.7" customHeight="1" x14ac:dyDescent="0.3">
      <c r="A507" s="2"/>
      <c r="B507" s="2"/>
      <c r="C507" s="2"/>
      <c r="D507" s="2"/>
      <c r="E507" s="2"/>
      <c r="F507" s="2"/>
      <c r="G507" s="2"/>
      <c r="H507" s="2"/>
    </row>
    <row r="508" spans="1:8" ht="15.7" customHeight="1" x14ac:dyDescent="0.3">
      <c r="A508" s="2"/>
      <c r="B508" s="2"/>
      <c r="C508" s="2"/>
      <c r="D508" s="2"/>
      <c r="E508" s="2"/>
      <c r="F508" s="2"/>
      <c r="G508" s="2"/>
      <c r="H508" s="2"/>
    </row>
    <row r="509" spans="1:8" ht="15.7" customHeight="1" x14ac:dyDescent="0.3">
      <c r="A509" s="2"/>
      <c r="B509" s="2"/>
      <c r="C509" s="2"/>
      <c r="D509" s="2"/>
      <c r="E509" s="2"/>
      <c r="F509" s="2"/>
      <c r="G509" s="2"/>
      <c r="H509" s="2"/>
    </row>
    <row r="510" spans="1:8" ht="15.7" customHeight="1" x14ac:dyDescent="0.3">
      <c r="A510" s="2"/>
      <c r="B510" s="2"/>
      <c r="C510" s="2"/>
      <c r="D510" s="2"/>
      <c r="E510" s="2"/>
      <c r="F510" s="2"/>
      <c r="G510" s="2"/>
      <c r="H510" s="2"/>
    </row>
    <row r="511" spans="1:8" ht="15.7" customHeight="1" x14ac:dyDescent="0.3">
      <c r="A511" s="2"/>
      <c r="B511" s="2"/>
      <c r="C511" s="2"/>
      <c r="D511" s="2"/>
      <c r="E511" s="2"/>
      <c r="F511" s="2"/>
      <c r="G511" s="2"/>
      <c r="H511" s="2"/>
    </row>
    <row r="512" spans="1:8" ht="15.7" customHeight="1" x14ac:dyDescent="0.3">
      <c r="A512" s="2"/>
      <c r="B512" s="2"/>
      <c r="C512" s="2"/>
      <c r="D512" s="2"/>
      <c r="E512" s="2"/>
      <c r="F512" s="2"/>
      <c r="G512" s="2"/>
      <c r="H512" s="2"/>
    </row>
    <row r="513" spans="1:8" ht="15.7" customHeight="1" x14ac:dyDescent="0.3">
      <c r="A513" s="2"/>
      <c r="B513" s="2"/>
      <c r="C513" s="2"/>
      <c r="D513" s="2"/>
      <c r="E513" s="2"/>
      <c r="F513" s="2"/>
      <c r="G513" s="2"/>
      <c r="H513" s="2"/>
    </row>
    <row r="514" spans="1:8" ht="15.7" customHeight="1" x14ac:dyDescent="0.3">
      <c r="A514" s="2"/>
      <c r="B514" s="2"/>
      <c r="C514" s="2"/>
      <c r="D514" s="2"/>
      <c r="E514" s="2"/>
      <c r="F514" s="2"/>
      <c r="G514" s="2"/>
      <c r="H514" s="2"/>
    </row>
    <row r="515" spans="1:8" ht="15.7" customHeight="1" x14ac:dyDescent="0.3">
      <c r="A515" s="2"/>
      <c r="B515" s="2"/>
      <c r="C515" s="2"/>
      <c r="D515" s="2"/>
      <c r="E515" s="2"/>
      <c r="F515" s="2"/>
      <c r="G515" s="2"/>
      <c r="H515" s="2"/>
    </row>
    <row r="516" spans="1:8" ht="15.7" customHeight="1" x14ac:dyDescent="0.3">
      <c r="A516" s="2"/>
      <c r="B516" s="2"/>
      <c r="C516" s="2"/>
      <c r="D516" s="2"/>
      <c r="E516" s="2"/>
      <c r="F516" s="2"/>
      <c r="G516" s="2"/>
      <c r="H516" s="2"/>
    </row>
    <row r="517" spans="1:8" ht="15.7" customHeight="1" x14ac:dyDescent="0.3">
      <c r="A517" s="2"/>
      <c r="B517" s="2"/>
      <c r="C517" s="2"/>
      <c r="D517" s="2"/>
      <c r="E517" s="2"/>
      <c r="F517" s="2"/>
      <c r="G517" s="2"/>
      <c r="H517" s="2"/>
    </row>
    <row r="518" spans="1:8" ht="15.7" customHeight="1" x14ac:dyDescent="0.3">
      <c r="A518" s="2"/>
      <c r="B518" s="2"/>
      <c r="C518" s="2"/>
      <c r="D518" s="2"/>
      <c r="E518" s="2"/>
      <c r="F518" s="2"/>
      <c r="G518" s="2"/>
      <c r="H518" s="2"/>
    </row>
    <row r="519" spans="1:8" ht="15.7" customHeight="1" x14ac:dyDescent="0.3">
      <c r="A519" s="2"/>
      <c r="B519" s="2"/>
      <c r="C519" s="2"/>
      <c r="D519" s="2"/>
      <c r="E519" s="2"/>
      <c r="F519" s="2"/>
      <c r="G519" s="2"/>
      <c r="H519" s="2"/>
    </row>
    <row r="520" spans="1:8" ht="15.7" customHeight="1" x14ac:dyDescent="0.3">
      <c r="A520" s="2"/>
      <c r="B520" s="2"/>
      <c r="C520" s="2"/>
      <c r="D520" s="2"/>
      <c r="E520" s="2"/>
      <c r="F520" s="2"/>
      <c r="G520" s="2"/>
      <c r="H520" s="2"/>
    </row>
    <row r="521" spans="1:8" ht="15.7" customHeight="1" x14ac:dyDescent="0.3">
      <c r="A521" s="2"/>
      <c r="B521" s="2"/>
      <c r="C521" s="2"/>
      <c r="D521" s="2"/>
      <c r="E521" s="2"/>
      <c r="F521" s="2"/>
      <c r="G521" s="2"/>
      <c r="H521" s="2"/>
    </row>
    <row r="522" spans="1:8" ht="15.7" customHeight="1" x14ac:dyDescent="0.3">
      <c r="A522" s="2"/>
      <c r="B522" s="2"/>
      <c r="C522" s="2"/>
      <c r="D522" s="2"/>
      <c r="E522" s="2"/>
      <c r="F522" s="2"/>
      <c r="G522" s="2"/>
      <c r="H522" s="2"/>
    </row>
    <row r="523" spans="1:8" ht="15.7" customHeight="1" x14ac:dyDescent="0.3">
      <c r="A523" s="2"/>
      <c r="B523" s="2"/>
      <c r="C523" s="2"/>
      <c r="D523" s="2"/>
      <c r="E523" s="2"/>
      <c r="F523" s="2"/>
      <c r="G523" s="2"/>
      <c r="H523" s="2"/>
    </row>
    <row r="524" spans="1:8" ht="15.7" customHeight="1" x14ac:dyDescent="0.3">
      <c r="A524" s="2"/>
      <c r="B524" s="2"/>
      <c r="C524" s="2"/>
      <c r="D524" s="2"/>
      <c r="E524" s="2"/>
      <c r="F524" s="2"/>
      <c r="G524" s="2"/>
      <c r="H524" s="2"/>
    </row>
    <row r="525" spans="1:8" ht="15.7" customHeight="1" x14ac:dyDescent="0.3">
      <c r="A525" s="2"/>
      <c r="B525" s="2"/>
      <c r="C525" s="2"/>
      <c r="D525" s="2"/>
      <c r="E525" s="2"/>
      <c r="F525" s="2"/>
      <c r="G525" s="2"/>
      <c r="H525" s="2"/>
    </row>
    <row r="526" spans="1:8" ht="15.7" customHeight="1" x14ac:dyDescent="0.3">
      <c r="A526" s="2"/>
      <c r="B526" s="2"/>
      <c r="C526" s="2"/>
      <c r="D526" s="2"/>
      <c r="E526" s="2"/>
      <c r="F526" s="2"/>
      <c r="G526" s="2"/>
      <c r="H526" s="2"/>
    </row>
    <row r="527" spans="1:8" ht="15.7" customHeight="1" x14ac:dyDescent="0.3">
      <c r="A527" s="2"/>
      <c r="B527" s="2"/>
      <c r="C527" s="2"/>
      <c r="D527" s="2"/>
      <c r="E527" s="2"/>
      <c r="F527" s="2"/>
      <c r="G527" s="2"/>
      <c r="H527" s="2"/>
    </row>
    <row r="528" spans="1:8" ht="15.7" customHeight="1" x14ac:dyDescent="0.3">
      <c r="A528" s="2"/>
      <c r="B528" s="2"/>
      <c r="C528" s="2"/>
      <c r="D528" s="2"/>
      <c r="E528" s="2"/>
      <c r="F528" s="2"/>
      <c r="G528" s="2"/>
      <c r="H528" s="2"/>
    </row>
    <row r="529" spans="1:8" ht="15.7" customHeight="1" x14ac:dyDescent="0.3">
      <c r="A529" s="2"/>
      <c r="B529" s="2"/>
      <c r="C529" s="2"/>
      <c r="D529" s="2"/>
      <c r="E529" s="2"/>
      <c r="F529" s="2"/>
      <c r="G529" s="2"/>
      <c r="H529" s="2"/>
    </row>
    <row r="530" spans="1:8" ht="15.7" customHeight="1" x14ac:dyDescent="0.3">
      <c r="A530" s="2"/>
      <c r="B530" s="2"/>
      <c r="C530" s="2"/>
      <c r="D530" s="2"/>
      <c r="E530" s="2"/>
      <c r="F530" s="2"/>
      <c r="G530" s="2"/>
      <c r="H530" s="2"/>
    </row>
    <row r="531" spans="1:8" ht="15.7" customHeight="1" x14ac:dyDescent="0.3">
      <c r="A531" s="2"/>
      <c r="B531" s="2"/>
      <c r="C531" s="2"/>
      <c r="D531" s="2"/>
      <c r="E531" s="2"/>
      <c r="F531" s="2"/>
      <c r="G531" s="2"/>
      <c r="H531" s="2"/>
    </row>
    <row r="532" spans="1:8" ht="15.7" customHeight="1" x14ac:dyDescent="0.3">
      <c r="A532" s="2"/>
      <c r="B532" s="2"/>
      <c r="C532" s="2"/>
      <c r="D532" s="2"/>
      <c r="E532" s="2"/>
      <c r="F532" s="2"/>
      <c r="G532" s="2"/>
      <c r="H532" s="2"/>
    </row>
    <row r="533" spans="1:8" ht="15.7" customHeight="1" x14ac:dyDescent="0.3">
      <c r="A533" s="2"/>
      <c r="B533" s="2"/>
      <c r="C533" s="2"/>
      <c r="D533" s="2"/>
      <c r="E533" s="2"/>
      <c r="F533" s="2"/>
      <c r="G533" s="2"/>
      <c r="H533" s="2"/>
    </row>
    <row r="534" spans="1:8" ht="15.7" customHeight="1" x14ac:dyDescent="0.3">
      <c r="A534" s="2"/>
      <c r="B534" s="2"/>
      <c r="C534" s="2"/>
      <c r="D534" s="2"/>
      <c r="E534" s="2"/>
      <c r="F534" s="2"/>
      <c r="G534" s="2"/>
      <c r="H534" s="2"/>
    </row>
    <row r="535" spans="1:8" ht="15.7" customHeight="1" x14ac:dyDescent="0.3">
      <c r="A535" s="2"/>
      <c r="B535" s="2"/>
      <c r="C535" s="2"/>
      <c r="D535" s="2"/>
      <c r="E535" s="2"/>
      <c r="F535" s="2"/>
      <c r="G535" s="2"/>
      <c r="H535" s="2"/>
    </row>
    <row r="536" spans="1:8" ht="15.7" customHeight="1" x14ac:dyDescent="0.3">
      <c r="A536" s="2"/>
      <c r="B536" s="2"/>
      <c r="C536" s="2"/>
      <c r="D536" s="2"/>
      <c r="E536" s="2"/>
      <c r="F536" s="2"/>
      <c r="G536" s="2"/>
      <c r="H536" s="2"/>
    </row>
    <row r="537" spans="1:8" ht="15.7" customHeight="1" x14ac:dyDescent="0.3">
      <c r="A537" s="2"/>
      <c r="B537" s="2"/>
      <c r="C537" s="2"/>
      <c r="D537" s="2"/>
      <c r="E537" s="2"/>
      <c r="F537" s="2"/>
      <c r="G537" s="2"/>
      <c r="H537" s="2"/>
    </row>
    <row r="538" spans="1:8" ht="15.7" customHeight="1" x14ac:dyDescent="0.3">
      <c r="A538" s="2"/>
      <c r="B538" s="2"/>
      <c r="C538" s="2"/>
      <c r="D538" s="2"/>
      <c r="E538" s="2"/>
      <c r="F538" s="2"/>
      <c r="G538" s="2"/>
      <c r="H538" s="2"/>
    </row>
    <row r="539" spans="1:8" ht="15.7" customHeight="1" x14ac:dyDescent="0.3">
      <c r="A539" s="2"/>
      <c r="B539" s="2"/>
      <c r="C539" s="2"/>
      <c r="D539" s="2"/>
      <c r="E539" s="2"/>
      <c r="F539" s="2"/>
      <c r="G539" s="2"/>
      <c r="H539" s="2"/>
    </row>
    <row r="540" spans="1:8" ht="15.7" customHeight="1" x14ac:dyDescent="0.3">
      <c r="A540" s="2"/>
      <c r="B540" s="2"/>
      <c r="C540" s="2"/>
      <c r="D540" s="2"/>
      <c r="E540" s="2"/>
      <c r="F540" s="2"/>
      <c r="G540" s="2"/>
      <c r="H540" s="2"/>
    </row>
    <row r="541" spans="1:8" ht="15.7" customHeight="1" x14ac:dyDescent="0.3">
      <c r="A541" s="2"/>
      <c r="B541" s="2"/>
      <c r="C541" s="2"/>
      <c r="D541" s="2"/>
      <c r="E541" s="2"/>
      <c r="F541" s="2"/>
      <c r="G541" s="2"/>
      <c r="H541" s="2"/>
    </row>
    <row r="542" spans="1:8" ht="15.7" customHeight="1" x14ac:dyDescent="0.3">
      <c r="A542" s="2"/>
      <c r="B542" s="2"/>
      <c r="C542" s="2"/>
      <c r="D542" s="2"/>
      <c r="E542" s="2"/>
      <c r="F542" s="2"/>
      <c r="G542" s="2"/>
      <c r="H542" s="2"/>
    </row>
    <row r="543" spans="1:8" ht="15.7" customHeight="1" x14ac:dyDescent="0.3">
      <c r="A543" s="2"/>
      <c r="B543" s="2"/>
      <c r="C543" s="2"/>
      <c r="D543" s="2"/>
      <c r="E543" s="2"/>
      <c r="F543" s="2"/>
      <c r="G543" s="2"/>
      <c r="H543" s="2"/>
    </row>
    <row r="544" spans="1:8" ht="15.7" customHeight="1" x14ac:dyDescent="0.3">
      <c r="A544" s="2"/>
      <c r="B544" s="2"/>
      <c r="C544" s="2"/>
      <c r="D544" s="2"/>
      <c r="E544" s="2"/>
      <c r="F544" s="2"/>
      <c r="G544" s="2"/>
      <c r="H544" s="2"/>
    </row>
    <row r="545" spans="1:8" ht="15.7" customHeight="1" x14ac:dyDescent="0.3">
      <c r="A545" s="2"/>
      <c r="B545" s="2"/>
      <c r="C545" s="2"/>
      <c r="D545" s="2"/>
      <c r="E545" s="2"/>
      <c r="F545" s="2"/>
      <c r="G545" s="2"/>
      <c r="H545" s="2"/>
    </row>
    <row r="546" spans="1:8" ht="15.7" customHeight="1" x14ac:dyDescent="0.3">
      <c r="A546" s="2"/>
      <c r="B546" s="2"/>
      <c r="C546" s="2"/>
      <c r="D546" s="2"/>
      <c r="E546" s="2"/>
      <c r="F546" s="2"/>
      <c r="G546" s="2"/>
      <c r="H546" s="2"/>
    </row>
    <row r="547" spans="1:8" ht="15.7" customHeight="1" x14ac:dyDescent="0.3">
      <c r="A547" s="2"/>
      <c r="B547" s="2"/>
      <c r="C547" s="2"/>
      <c r="D547" s="2"/>
      <c r="E547" s="2"/>
      <c r="F547" s="2"/>
      <c r="G547" s="2"/>
      <c r="H547" s="2"/>
    </row>
    <row r="548" spans="1:8" ht="15.7" customHeight="1" x14ac:dyDescent="0.3">
      <c r="A548" s="2"/>
      <c r="B548" s="2"/>
      <c r="C548" s="2"/>
      <c r="D548" s="2"/>
      <c r="E548" s="2"/>
      <c r="F548" s="2"/>
      <c r="G548" s="2"/>
      <c r="H548" s="2"/>
    </row>
    <row r="549" spans="1:8" ht="15.7" customHeight="1" x14ac:dyDescent="0.3">
      <c r="A549" s="2"/>
      <c r="B549" s="2"/>
      <c r="C549" s="2"/>
      <c r="D549" s="2"/>
      <c r="E549" s="2"/>
      <c r="F549" s="2"/>
      <c r="G549" s="2"/>
      <c r="H549" s="2"/>
    </row>
    <row r="550" spans="1:8" ht="15.7" customHeight="1" x14ac:dyDescent="0.3">
      <c r="A550" s="2"/>
      <c r="B550" s="2"/>
      <c r="C550" s="2"/>
      <c r="D550" s="2"/>
      <c r="E550" s="2"/>
      <c r="F550" s="2"/>
      <c r="G550" s="2"/>
      <c r="H550" s="2"/>
    </row>
    <row r="551" spans="1:8" ht="15.7" customHeight="1" x14ac:dyDescent="0.3">
      <c r="A551" s="2"/>
      <c r="B551" s="2"/>
      <c r="C551" s="2"/>
      <c r="D551" s="2"/>
      <c r="E551" s="2"/>
      <c r="F551" s="2"/>
      <c r="G551" s="2"/>
      <c r="H551" s="2"/>
    </row>
    <row r="552" spans="1:8" ht="15.7" customHeight="1" x14ac:dyDescent="0.3">
      <c r="A552" s="2"/>
      <c r="B552" s="2"/>
      <c r="C552" s="2"/>
      <c r="D552" s="2"/>
      <c r="E552" s="2"/>
      <c r="F552" s="2"/>
      <c r="G552" s="2"/>
      <c r="H552" s="2"/>
    </row>
    <row r="553" spans="1:8" ht="15.7" customHeight="1" x14ac:dyDescent="0.3">
      <c r="A553" s="2"/>
      <c r="B553" s="2"/>
      <c r="C553" s="2"/>
      <c r="D553" s="2"/>
      <c r="E553" s="2"/>
      <c r="F553" s="2"/>
      <c r="G553" s="2"/>
      <c r="H553" s="2"/>
    </row>
    <row r="554" spans="1:8" ht="15.7" customHeight="1" x14ac:dyDescent="0.3">
      <c r="A554" s="2"/>
      <c r="B554" s="2"/>
      <c r="C554" s="2"/>
      <c r="D554" s="2"/>
      <c r="E554" s="2"/>
      <c r="F554" s="2"/>
      <c r="G554" s="2"/>
      <c r="H554" s="2"/>
    </row>
    <row r="555" spans="1:8" ht="15.7" customHeight="1" x14ac:dyDescent="0.3">
      <c r="A555" s="2"/>
      <c r="B555" s="2"/>
      <c r="C555" s="2"/>
      <c r="D555" s="2"/>
      <c r="E555" s="2"/>
      <c r="F555" s="2"/>
      <c r="G555" s="2"/>
      <c r="H555" s="2"/>
    </row>
    <row r="556" spans="1:8" ht="15.7" customHeight="1" x14ac:dyDescent="0.3">
      <c r="A556" s="2"/>
      <c r="B556" s="2"/>
      <c r="C556" s="2"/>
      <c r="D556" s="2"/>
      <c r="E556" s="2"/>
      <c r="F556" s="2"/>
      <c r="G556" s="2"/>
      <c r="H556" s="2"/>
    </row>
    <row r="557" spans="1:8" ht="15.7" customHeight="1" x14ac:dyDescent="0.3">
      <c r="A557" s="2"/>
      <c r="B557" s="2"/>
      <c r="C557" s="2"/>
      <c r="D557" s="2"/>
      <c r="E557" s="2"/>
      <c r="F557" s="2"/>
      <c r="G557" s="2"/>
      <c r="H557" s="2"/>
    </row>
    <row r="558" spans="1:8" ht="15.7" customHeight="1" x14ac:dyDescent="0.3">
      <c r="A558" s="2"/>
      <c r="B558" s="2"/>
      <c r="C558" s="2"/>
      <c r="D558" s="2"/>
      <c r="E558" s="2"/>
      <c r="F558" s="2"/>
      <c r="G558" s="2"/>
      <c r="H558" s="2"/>
    </row>
    <row r="559" spans="1:8" ht="15.7" customHeight="1" x14ac:dyDescent="0.3">
      <c r="A559" s="2"/>
      <c r="B559" s="2"/>
      <c r="C559" s="2"/>
      <c r="D559" s="2"/>
      <c r="E559" s="2"/>
      <c r="F559" s="2"/>
      <c r="G559" s="2"/>
      <c r="H559" s="2"/>
    </row>
    <row r="560" spans="1:8" ht="15.7" customHeight="1" x14ac:dyDescent="0.3">
      <c r="A560" s="2"/>
      <c r="B560" s="2"/>
      <c r="C560" s="2"/>
      <c r="D560" s="2"/>
      <c r="E560" s="2"/>
      <c r="F560" s="2"/>
      <c r="G560" s="2"/>
      <c r="H560" s="2"/>
    </row>
    <row r="561" spans="1:8" ht="15.7" customHeight="1" x14ac:dyDescent="0.3">
      <c r="A561" s="2"/>
      <c r="B561" s="2"/>
      <c r="C561" s="2"/>
      <c r="D561" s="2"/>
      <c r="E561" s="2"/>
      <c r="F561" s="2"/>
      <c r="G561" s="2"/>
      <c r="H561" s="2"/>
    </row>
    <row r="562" spans="1:8" ht="15.7" customHeight="1" x14ac:dyDescent="0.3">
      <c r="A562" s="2"/>
      <c r="B562" s="2"/>
      <c r="C562" s="2"/>
      <c r="D562" s="2"/>
      <c r="E562" s="2"/>
      <c r="F562" s="2"/>
      <c r="G562" s="2"/>
      <c r="H562" s="2"/>
    </row>
    <row r="563" spans="1:8" ht="15.7" customHeight="1" x14ac:dyDescent="0.3">
      <c r="A563" s="2"/>
      <c r="B563" s="2"/>
      <c r="C563" s="2"/>
      <c r="D563" s="2"/>
      <c r="E563" s="2"/>
      <c r="F563" s="2"/>
      <c r="G563" s="2"/>
      <c r="H563" s="2"/>
    </row>
    <row r="564" spans="1:8" ht="15.7" customHeight="1" x14ac:dyDescent="0.3">
      <c r="A564" s="2"/>
      <c r="B564" s="2"/>
      <c r="C564" s="2"/>
      <c r="D564" s="2"/>
      <c r="E564" s="2"/>
      <c r="F564" s="2"/>
      <c r="G564" s="2"/>
      <c r="H564" s="2"/>
    </row>
    <row r="565" spans="1:8" ht="15.7" customHeight="1" x14ac:dyDescent="0.3">
      <c r="A565" s="2"/>
      <c r="B565" s="2"/>
      <c r="C565" s="2"/>
      <c r="D565" s="2"/>
      <c r="E565" s="2"/>
      <c r="F565" s="2"/>
      <c r="G565" s="2"/>
      <c r="H565" s="2"/>
    </row>
    <row r="566" spans="1:8" ht="15.7" customHeight="1" x14ac:dyDescent="0.3">
      <c r="A566" s="2"/>
      <c r="B566" s="2"/>
      <c r="C566" s="2"/>
      <c r="D566" s="2"/>
      <c r="E566" s="2"/>
      <c r="F566" s="2"/>
      <c r="G566" s="2"/>
      <c r="H566" s="2"/>
    </row>
    <row r="567" spans="1:8" ht="15.7" customHeight="1" x14ac:dyDescent="0.3">
      <c r="A567" s="2"/>
      <c r="B567" s="2"/>
      <c r="C567" s="2"/>
      <c r="D567" s="2"/>
      <c r="E567" s="2"/>
      <c r="F567" s="2"/>
      <c r="G567" s="2"/>
      <c r="H567" s="2"/>
    </row>
    <row r="568" spans="1:8" ht="15.7" customHeight="1" x14ac:dyDescent="0.3">
      <c r="A568" s="2"/>
      <c r="B568" s="2"/>
      <c r="C568" s="2"/>
      <c r="D568" s="2"/>
      <c r="E568" s="2"/>
      <c r="F568" s="2"/>
      <c r="G568" s="2"/>
      <c r="H568" s="2"/>
    </row>
    <row r="569" spans="1:8" ht="15.7" customHeight="1" x14ac:dyDescent="0.3">
      <c r="A569" s="2"/>
      <c r="B569" s="2"/>
      <c r="C569" s="2"/>
      <c r="D569" s="2"/>
      <c r="E569" s="2"/>
      <c r="F569" s="2"/>
      <c r="G569" s="2"/>
      <c r="H569" s="2"/>
    </row>
    <row r="570" spans="1:8" ht="15.7" customHeight="1" x14ac:dyDescent="0.3">
      <c r="A570" s="2"/>
      <c r="B570" s="2"/>
      <c r="C570" s="2"/>
      <c r="D570" s="2"/>
      <c r="E570" s="2"/>
      <c r="F570" s="2"/>
      <c r="G570" s="2"/>
      <c r="H570" s="2"/>
    </row>
    <row r="571" spans="1:8" ht="15.7" customHeight="1" x14ac:dyDescent="0.3">
      <c r="A571" s="2"/>
      <c r="B571" s="2"/>
      <c r="C571" s="2"/>
      <c r="D571" s="2"/>
      <c r="E571" s="2"/>
      <c r="F571" s="2"/>
      <c r="G571" s="2"/>
      <c r="H571" s="2"/>
    </row>
    <row r="572" spans="1:8" ht="15.7" customHeight="1" x14ac:dyDescent="0.3">
      <c r="A572" s="2"/>
      <c r="B572" s="2"/>
      <c r="C572" s="2"/>
      <c r="D572" s="2"/>
      <c r="E572" s="2"/>
      <c r="F572" s="2"/>
      <c r="G572" s="2"/>
      <c r="H572" s="2"/>
    </row>
    <row r="573" spans="1:8" ht="15.7" customHeight="1" x14ac:dyDescent="0.3">
      <c r="A573" s="2"/>
      <c r="B573" s="2"/>
      <c r="C573" s="2"/>
      <c r="D573" s="2"/>
      <c r="E573" s="2"/>
      <c r="F573" s="2"/>
      <c r="G573" s="2"/>
      <c r="H573" s="2"/>
    </row>
    <row r="574" spans="1:8" ht="15.7" customHeight="1" x14ac:dyDescent="0.3">
      <c r="A574" s="2"/>
      <c r="B574" s="2"/>
      <c r="C574" s="2"/>
      <c r="D574" s="2"/>
      <c r="E574" s="2"/>
      <c r="F574" s="2"/>
      <c r="G574" s="2"/>
      <c r="H574" s="2"/>
    </row>
    <row r="575" spans="1:8" ht="15.7" customHeight="1" x14ac:dyDescent="0.3">
      <c r="A575" s="2"/>
      <c r="B575" s="2"/>
      <c r="C575" s="2"/>
      <c r="D575" s="2"/>
      <c r="E575" s="2"/>
      <c r="F575" s="2"/>
      <c r="G575" s="2"/>
      <c r="H575" s="2"/>
    </row>
    <row r="576" spans="1:8" ht="15.7" customHeight="1" x14ac:dyDescent="0.3">
      <c r="A576" s="2"/>
      <c r="B576" s="2"/>
      <c r="C576" s="2"/>
      <c r="D576" s="2"/>
      <c r="E576" s="2"/>
      <c r="F576" s="2"/>
      <c r="G576" s="2"/>
      <c r="H576" s="2"/>
    </row>
    <row r="577" spans="1:8" ht="15.7" customHeight="1" x14ac:dyDescent="0.3">
      <c r="A577" s="2"/>
      <c r="B577" s="2"/>
      <c r="C577" s="2"/>
      <c r="D577" s="2"/>
      <c r="E577" s="2"/>
      <c r="F577" s="2"/>
      <c r="G577" s="2"/>
      <c r="H577" s="2"/>
    </row>
    <row r="578" spans="1:8" ht="15.7" customHeight="1" x14ac:dyDescent="0.3">
      <c r="A578" s="2"/>
      <c r="B578" s="2"/>
      <c r="C578" s="2"/>
      <c r="D578" s="2"/>
      <c r="E578" s="2"/>
      <c r="F578" s="2"/>
      <c r="G578" s="2"/>
      <c r="H578" s="2"/>
    </row>
    <row r="579" spans="1:8" ht="15.7" customHeight="1" x14ac:dyDescent="0.3">
      <c r="A579" s="2"/>
      <c r="B579" s="2"/>
      <c r="C579" s="2"/>
      <c r="D579" s="2"/>
      <c r="E579" s="2"/>
      <c r="F579" s="2"/>
      <c r="G579" s="2"/>
      <c r="H579" s="2"/>
    </row>
    <row r="580" spans="1:8" ht="15.7" customHeight="1" x14ac:dyDescent="0.3">
      <c r="A580" s="2"/>
      <c r="B580" s="2"/>
      <c r="C580" s="2"/>
      <c r="D580" s="2"/>
      <c r="E580" s="2"/>
      <c r="F580" s="2"/>
      <c r="G580" s="2"/>
      <c r="H580" s="2"/>
    </row>
    <row r="581" spans="1:8" ht="15.7" customHeight="1" x14ac:dyDescent="0.3">
      <c r="A581" s="2"/>
      <c r="B581" s="2"/>
      <c r="C581" s="2"/>
      <c r="D581" s="2"/>
      <c r="E581" s="2"/>
      <c r="F581" s="2"/>
      <c r="G581" s="2"/>
      <c r="H581" s="2"/>
    </row>
    <row r="582" spans="1:8" ht="15.7" customHeight="1" x14ac:dyDescent="0.3">
      <c r="A582" s="2"/>
      <c r="B582" s="2"/>
      <c r="C582" s="2"/>
      <c r="D582" s="2"/>
      <c r="E582" s="2"/>
      <c r="F582" s="2"/>
      <c r="G582" s="2"/>
      <c r="H582" s="2"/>
    </row>
    <row r="583" spans="1:8" ht="15.7" customHeight="1" x14ac:dyDescent="0.3">
      <c r="A583" s="2"/>
      <c r="B583" s="2"/>
      <c r="C583" s="2"/>
      <c r="D583" s="2"/>
      <c r="E583" s="2"/>
      <c r="F583" s="2"/>
      <c r="G583" s="2"/>
      <c r="H583" s="2"/>
    </row>
    <row r="584" spans="1:8" ht="15.7" customHeight="1" x14ac:dyDescent="0.3">
      <c r="A584" s="2"/>
      <c r="B584" s="2"/>
      <c r="C584" s="2"/>
      <c r="D584" s="2"/>
      <c r="E584" s="2"/>
      <c r="F584" s="2"/>
      <c r="G584" s="2"/>
      <c r="H584" s="2"/>
    </row>
    <row r="585" spans="1:8" ht="15.7" customHeight="1" x14ac:dyDescent="0.3">
      <c r="A585" s="2"/>
      <c r="B585" s="2"/>
      <c r="C585" s="2"/>
      <c r="D585" s="2"/>
      <c r="E585" s="2"/>
      <c r="F585" s="2"/>
      <c r="G585" s="2"/>
      <c r="H585" s="2"/>
    </row>
    <row r="586" spans="1:8" ht="15.7" customHeight="1" x14ac:dyDescent="0.3">
      <c r="A586" s="2"/>
      <c r="B586" s="2"/>
      <c r="C586" s="2"/>
      <c r="D586" s="2"/>
      <c r="E586" s="2"/>
      <c r="F586" s="2"/>
      <c r="G586" s="2"/>
      <c r="H586" s="2"/>
    </row>
    <row r="587" spans="1:8" ht="15.7" customHeight="1" x14ac:dyDescent="0.3">
      <c r="A587" s="2"/>
      <c r="B587" s="2"/>
      <c r="C587" s="2"/>
      <c r="D587" s="2"/>
      <c r="E587" s="2"/>
      <c r="F587" s="2"/>
      <c r="G587" s="2"/>
      <c r="H587" s="2"/>
    </row>
    <row r="588" spans="1:8" ht="15.7" customHeight="1" x14ac:dyDescent="0.3">
      <c r="A588" s="2"/>
      <c r="B588" s="2"/>
      <c r="C588" s="2"/>
      <c r="D588" s="2"/>
      <c r="E588" s="2"/>
      <c r="F588" s="2"/>
      <c r="G588" s="2"/>
      <c r="H588" s="2"/>
    </row>
    <row r="589" spans="1:8" ht="15.7" customHeight="1" x14ac:dyDescent="0.3">
      <c r="A589" s="2"/>
      <c r="B589" s="2"/>
      <c r="C589" s="2"/>
      <c r="D589" s="2"/>
      <c r="E589" s="2"/>
      <c r="F589" s="2"/>
      <c r="G589" s="2"/>
      <c r="H589" s="2"/>
    </row>
    <row r="590" spans="1:8" ht="15.7" customHeight="1" x14ac:dyDescent="0.3">
      <c r="A590" s="2"/>
      <c r="B590" s="2"/>
      <c r="C590" s="2"/>
      <c r="D590" s="2"/>
      <c r="E590" s="2"/>
      <c r="F590" s="2"/>
      <c r="G590" s="2"/>
      <c r="H590" s="2"/>
    </row>
    <row r="591" spans="1:8" ht="15.7" customHeight="1" x14ac:dyDescent="0.3">
      <c r="A591" s="2"/>
      <c r="B591" s="2"/>
      <c r="C591" s="2"/>
      <c r="D591" s="2"/>
      <c r="E591" s="2"/>
      <c r="F591" s="2"/>
      <c r="G591" s="2"/>
      <c r="H591" s="2"/>
    </row>
    <row r="592" spans="1:8" ht="15.7" customHeight="1" x14ac:dyDescent="0.3">
      <c r="A592" s="2"/>
      <c r="B592" s="2"/>
      <c r="C592" s="2"/>
      <c r="D592" s="2"/>
      <c r="E592" s="2"/>
      <c r="F592" s="2"/>
      <c r="G592" s="2"/>
      <c r="H592" s="2"/>
    </row>
    <row r="593" spans="1:8" ht="15.7" customHeight="1" x14ac:dyDescent="0.3">
      <c r="A593" s="2"/>
      <c r="B593" s="2"/>
      <c r="C593" s="2"/>
      <c r="D593" s="2"/>
      <c r="E593" s="2"/>
      <c r="F593" s="2"/>
      <c r="G593" s="2"/>
      <c r="H593" s="2"/>
    </row>
    <row r="594" spans="1:8" ht="15.7" customHeight="1" x14ac:dyDescent="0.3">
      <c r="A594" s="2"/>
      <c r="B594" s="2"/>
      <c r="C594" s="2"/>
      <c r="D594" s="2"/>
      <c r="E594" s="2"/>
      <c r="F594" s="2"/>
      <c r="G594" s="2"/>
      <c r="H594" s="2"/>
    </row>
    <row r="595" spans="1:8" ht="15.7" customHeight="1" x14ac:dyDescent="0.3">
      <c r="A595" s="2"/>
      <c r="B595" s="2"/>
      <c r="C595" s="2"/>
      <c r="D595" s="2"/>
      <c r="E595" s="2"/>
      <c r="F595" s="2"/>
      <c r="G595" s="2"/>
      <c r="H595" s="2"/>
    </row>
    <row r="596" spans="1:8" ht="15.7" customHeight="1" x14ac:dyDescent="0.3">
      <c r="A596" s="2"/>
      <c r="B596" s="2"/>
      <c r="C596" s="2"/>
      <c r="D596" s="2"/>
      <c r="E596" s="2"/>
      <c r="F596" s="2"/>
      <c r="G596" s="2"/>
      <c r="H596" s="2"/>
    </row>
    <row r="597" spans="1:8" ht="15.7" customHeight="1" x14ac:dyDescent="0.3">
      <c r="A597" s="2"/>
      <c r="B597" s="2"/>
      <c r="C597" s="2"/>
      <c r="D597" s="2"/>
      <c r="E597" s="2"/>
      <c r="F597" s="2"/>
      <c r="G597" s="2"/>
      <c r="H597" s="2"/>
    </row>
    <row r="598" spans="1:8" ht="15.7" customHeight="1" x14ac:dyDescent="0.3">
      <c r="A598" s="2"/>
      <c r="B598" s="2"/>
      <c r="C598" s="2"/>
      <c r="D598" s="2"/>
      <c r="E598" s="2"/>
      <c r="F598" s="2"/>
      <c r="G598" s="2"/>
      <c r="H598" s="2"/>
    </row>
    <row r="599" spans="1:8" ht="15.7" customHeight="1" x14ac:dyDescent="0.3">
      <c r="A599" s="2"/>
      <c r="B599" s="2"/>
      <c r="C599" s="2"/>
      <c r="D599" s="2"/>
      <c r="E599" s="2"/>
      <c r="F599" s="2"/>
      <c r="G599" s="2"/>
      <c r="H599" s="2"/>
    </row>
    <row r="600" spans="1:8" ht="15.7" customHeight="1" x14ac:dyDescent="0.3">
      <c r="A600" s="2"/>
      <c r="B600" s="2"/>
      <c r="C600" s="2"/>
      <c r="D600" s="2"/>
      <c r="E600" s="2"/>
      <c r="F600" s="2"/>
      <c r="G600" s="2"/>
      <c r="H600" s="2"/>
    </row>
    <row r="601" spans="1:8" ht="15.7" customHeight="1" x14ac:dyDescent="0.3">
      <c r="A601" s="2"/>
      <c r="B601" s="2"/>
      <c r="C601" s="2"/>
      <c r="D601" s="2"/>
      <c r="E601" s="2"/>
      <c r="F601" s="2"/>
      <c r="G601" s="2"/>
      <c r="H601" s="2"/>
    </row>
    <row r="602" spans="1:8" ht="15.7" customHeight="1" x14ac:dyDescent="0.3">
      <c r="A602" s="2"/>
      <c r="B602" s="2"/>
      <c r="C602" s="2"/>
      <c r="D602" s="2"/>
      <c r="E602" s="2"/>
      <c r="F602" s="2"/>
      <c r="G602" s="2"/>
      <c r="H602" s="2"/>
    </row>
    <row r="603" spans="1:8" ht="15.7" customHeight="1" x14ac:dyDescent="0.3">
      <c r="A603" s="2"/>
      <c r="B603" s="2"/>
      <c r="C603" s="2"/>
      <c r="D603" s="2"/>
      <c r="E603" s="2"/>
      <c r="F603" s="2"/>
      <c r="G603" s="2"/>
      <c r="H603" s="2"/>
    </row>
    <row r="604" spans="1:8" ht="15.7" customHeight="1" x14ac:dyDescent="0.3">
      <c r="A604" s="2"/>
      <c r="B604" s="2"/>
      <c r="C604" s="2"/>
      <c r="D604" s="2"/>
      <c r="E604" s="2"/>
      <c r="F604" s="2"/>
      <c r="G604" s="2"/>
      <c r="H604" s="2"/>
    </row>
    <row r="605" spans="1:8" ht="15.7" customHeight="1" x14ac:dyDescent="0.3">
      <c r="A605" s="2"/>
      <c r="B605" s="2"/>
      <c r="C605" s="2"/>
      <c r="D605" s="2"/>
      <c r="E605" s="2"/>
      <c r="F605" s="2"/>
      <c r="G605" s="2"/>
      <c r="H605" s="2"/>
    </row>
    <row r="606" spans="1:8" ht="15.7" customHeight="1" x14ac:dyDescent="0.3">
      <c r="A606" s="2"/>
      <c r="B606" s="2"/>
      <c r="C606" s="2"/>
      <c r="D606" s="2"/>
      <c r="E606" s="2"/>
      <c r="F606" s="2"/>
      <c r="G606" s="2"/>
      <c r="H606" s="2"/>
    </row>
    <row r="607" spans="1:8" ht="15.7" customHeight="1" x14ac:dyDescent="0.3">
      <c r="A607" s="2"/>
      <c r="B607" s="2"/>
      <c r="C607" s="2"/>
      <c r="D607" s="2"/>
      <c r="E607" s="2"/>
      <c r="F607" s="2"/>
      <c r="G607" s="2"/>
      <c r="H607" s="2"/>
    </row>
    <row r="608" spans="1:8" ht="15.7" customHeight="1" x14ac:dyDescent="0.3">
      <c r="A608" s="2"/>
      <c r="B608" s="2"/>
      <c r="C608" s="2"/>
      <c r="D608" s="2"/>
      <c r="E608" s="2"/>
      <c r="F608" s="2"/>
      <c r="G608" s="2"/>
      <c r="H608" s="2"/>
    </row>
    <row r="609" spans="1:8" ht="15.7" customHeight="1" x14ac:dyDescent="0.3">
      <c r="A609" s="2"/>
      <c r="B609" s="2"/>
      <c r="C609" s="2"/>
      <c r="D609" s="2"/>
      <c r="E609" s="2"/>
      <c r="F609" s="2"/>
      <c r="G609" s="2"/>
      <c r="H609" s="2"/>
    </row>
    <row r="610" spans="1:8" ht="15.7" customHeight="1" x14ac:dyDescent="0.3">
      <c r="A610" s="2"/>
      <c r="B610" s="2"/>
      <c r="C610" s="2"/>
      <c r="D610" s="2"/>
      <c r="E610" s="2"/>
      <c r="F610" s="2"/>
      <c r="G610" s="2"/>
      <c r="H610" s="2"/>
    </row>
    <row r="611" spans="1:8" ht="15.7" customHeight="1" x14ac:dyDescent="0.3">
      <c r="A611" s="2"/>
      <c r="B611" s="2"/>
      <c r="C611" s="2"/>
      <c r="D611" s="2"/>
      <c r="E611" s="2"/>
      <c r="F611" s="2"/>
      <c r="G611" s="2"/>
      <c r="H611" s="2"/>
    </row>
    <row r="612" spans="1:8" ht="15.7" customHeight="1" x14ac:dyDescent="0.3">
      <c r="A612" s="2"/>
      <c r="B612" s="2"/>
      <c r="C612" s="2"/>
      <c r="D612" s="2"/>
      <c r="E612" s="2"/>
      <c r="F612" s="2"/>
      <c r="G612" s="2"/>
      <c r="H612" s="2"/>
    </row>
    <row r="613" spans="1:8" ht="15.7" customHeight="1" x14ac:dyDescent="0.3">
      <c r="A613" s="2"/>
      <c r="B613" s="2"/>
      <c r="C613" s="2"/>
      <c r="D613" s="2"/>
      <c r="E613" s="2"/>
      <c r="F613" s="2"/>
      <c r="G613" s="2"/>
      <c r="H613" s="2"/>
    </row>
    <row r="614" spans="1:8" ht="15.7" customHeight="1" x14ac:dyDescent="0.3">
      <c r="A614" s="2"/>
      <c r="B614" s="2"/>
      <c r="C614" s="2"/>
      <c r="D614" s="2"/>
      <c r="E614" s="2"/>
      <c r="F614" s="2"/>
      <c r="G614" s="2"/>
      <c r="H614" s="2"/>
    </row>
    <row r="615" spans="1:8" ht="15.7" customHeight="1" x14ac:dyDescent="0.3">
      <c r="A615" s="2"/>
      <c r="B615" s="2"/>
      <c r="C615" s="2"/>
      <c r="D615" s="2"/>
      <c r="E615" s="2"/>
      <c r="F615" s="2"/>
      <c r="G615" s="2"/>
      <c r="H615" s="2"/>
    </row>
    <row r="616" spans="1:8" ht="15.7" customHeight="1" x14ac:dyDescent="0.3">
      <c r="A616" s="2"/>
      <c r="B616" s="2"/>
      <c r="C616" s="2"/>
      <c r="D616" s="2"/>
      <c r="E616" s="2"/>
      <c r="F616" s="2"/>
      <c r="G616" s="2"/>
      <c r="H616" s="2"/>
    </row>
    <row r="617" spans="1:8" ht="15.7" customHeight="1" x14ac:dyDescent="0.3">
      <c r="A617" s="2"/>
      <c r="B617" s="2"/>
      <c r="C617" s="2"/>
      <c r="D617" s="2"/>
      <c r="E617" s="2"/>
      <c r="F617" s="2"/>
      <c r="G617" s="2"/>
      <c r="H617" s="2"/>
    </row>
    <row r="618" spans="1:8" ht="15.7" customHeight="1" x14ac:dyDescent="0.3">
      <c r="A618" s="2"/>
      <c r="B618" s="2"/>
      <c r="C618" s="2"/>
      <c r="D618" s="2"/>
      <c r="E618" s="2"/>
      <c r="F618" s="2"/>
      <c r="G618" s="2"/>
      <c r="H618" s="2"/>
    </row>
    <row r="619" spans="1:8" ht="15.7" customHeight="1" x14ac:dyDescent="0.3">
      <c r="A619" s="2"/>
      <c r="B619" s="2"/>
      <c r="C619" s="2"/>
      <c r="D619" s="2"/>
      <c r="E619" s="2"/>
      <c r="F619" s="2"/>
      <c r="G619" s="2"/>
      <c r="H619" s="2"/>
    </row>
    <row r="620" spans="1:8" ht="15.7" customHeight="1" x14ac:dyDescent="0.3">
      <c r="A620" s="2"/>
      <c r="B620" s="2"/>
      <c r="C620" s="2"/>
      <c r="D620" s="2"/>
      <c r="E620" s="2"/>
      <c r="F620" s="2"/>
      <c r="G620" s="2"/>
      <c r="H620" s="2"/>
    </row>
    <row r="621" spans="1:8" ht="15.7" customHeight="1" x14ac:dyDescent="0.3">
      <c r="A621" s="2"/>
      <c r="B621" s="2"/>
      <c r="C621" s="2"/>
      <c r="D621" s="2"/>
      <c r="E621" s="2"/>
      <c r="F621" s="2"/>
      <c r="G621" s="2"/>
      <c r="H621" s="2"/>
    </row>
    <row r="622" spans="1:8" ht="15.7" customHeight="1" x14ac:dyDescent="0.3">
      <c r="A622" s="2"/>
      <c r="B622" s="2"/>
      <c r="C622" s="2"/>
      <c r="D622" s="2"/>
      <c r="E622" s="2"/>
      <c r="F622" s="2"/>
      <c r="G622" s="2"/>
      <c r="H622" s="2"/>
    </row>
    <row r="623" spans="1:8" ht="15.7" customHeight="1" x14ac:dyDescent="0.3">
      <c r="A623" s="2"/>
      <c r="B623" s="2"/>
      <c r="C623" s="2"/>
      <c r="D623" s="2"/>
      <c r="E623" s="2"/>
      <c r="F623" s="2"/>
      <c r="G623" s="2"/>
      <c r="H623" s="2"/>
    </row>
    <row r="624" spans="1:8" ht="15.7" customHeight="1" x14ac:dyDescent="0.3">
      <c r="A624" s="2"/>
      <c r="B624" s="2"/>
      <c r="C624" s="2"/>
      <c r="D624" s="2"/>
      <c r="E624" s="2"/>
      <c r="F624" s="2"/>
      <c r="G624" s="2"/>
      <c r="H624" s="2"/>
    </row>
    <row r="625" spans="1:8" ht="15.7" customHeight="1" x14ac:dyDescent="0.3">
      <c r="A625" s="2"/>
      <c r="B625" s="2"/>
      <c r="C625" s="2"/>
      <c r="D625" s="2"/>
      <c r="E625" s="2"/>
      <c r="F625" s="2"/>
      <c r="G625" s="2"/>
      <c r="H625" s="2"/>
    </row>
    <row r="626" spans="1:8" ht="15.7" customHeight="1" x14ac:dyDescent="0.3">
      <c r="A626" s="2"/>
      <c r="B626" s="2"/>
      <c r="C626" s="2"/>
      <c r="D626" s="2"/>
      <c r="E626" s="2"/>
      <c r="F626" s="2"/>
      <c r="G626" s="2"/>
      <c r="H626" s="2"/>
    </row>
    <row r="627" spans="1:8" ht="15.7" customHeight="1" x14ac:dyDescent="0.3">
      <c r="A627" s="2"/>
      <c r="B627" s="2"/>
      <c r="C627" s="2"/>
      <c r="D627" s="2"/>
      <c r="E627" s="2"/>
      <c r="F627" s="2"/>
      <c r="G627" s="2"/>
      <c r="H627" s="2"/>
    </row>
    <row r="628" spans="1:8" ht="15.7" customHeight="1" x14ac:dyDescent="0.3">
      <c r="A628" s="2"/>
      <c r="B628" s="2"/>
      <c r="C628" s="2"/>
      <c r="D628" s="2"/>
      <c r="E628" s="2"/>
      <c r="F628" s="2"/>
      <c r="G628" s="2"/>
      <c r="H628" s="2"/>
    </row>
    <row r="629" spans="1:8" ht="15.7" customHeight="1" x14ac:dyDescent="0.3">
      <c r="A629" s="2"/>
      <c r="B629" s="2"/>
      <c r="C629" s="2"/>
      <c r="D629" s="2"/>
      <c r="E629" s="2"/>
      <c r="F629" s="2"/>
      <c r="G629" s="2"/>
      <c r="H629" s="2"/>
    </row>
    <row r="630" spans="1:8" ht="15.7" customHeight="1" x14ac:dyDescent="0.3">
      <c r="A630" s="2"/>
      <c r="B630" s="2"/>
      <c r="C630" s="2"/>
      <c r="D630" s="2"/>
      <c r="E630" s="2"/>
      <c r="F630" s="2"/>
      <c r="G630" s="2"/>
      <c r="H630" s="2"/>
    </row>
    <row r="631" spans="1:8" ht="15.7" customHeight="1" x14ac:dyDescent="0.3">
      <c r="A631" s="2"/>
      <c r="B631" s="2"/>
      <c r="C631" s="2"/>
      <c r="D631" s="2"/>
      <c r="E631" s="2"/>
      <c r="F631" s="2"/>
      <c r="G631" s="2"/>
      <c r="H631" s="2"/>
    </row>
    <row r="632" spans="1:8" ht="15.7" customHeight="1" x14ac:dyDescent="0.3">
      <c r="A632" s="2"/>
      <c r="B632" s="2"/>
      <c r="C632" s="2"/>
      <c r="D632" s="2"/>
      <c r="E632" s="2"/>
      <c r="F632" s="2"/>
      <c r="G632" s="2"/>
      <c r="H632" s="2"/>
    </row>
    <row r="633" spans="1:8" ht="15.7" customHeight="1" x14ac:dyDescent="0.3">
      <c r="A633" s="2"/>
      <c r="B633" s="2"/>
      <c r="C633" s="2"/>
      <c r="D633" s="2"/>
      <c r="E633" s="2"/>
      <c r="F633" s="2"/>
      <c r="G633" s="2"/>
      <c r="H633" s="2"/>
    </row>
    <row r="634" spans="1:8" ht="15.7" customHeight="1" x14ac:dyDescent="0.3">
      <c r="A634" s="2"/>
      <c r="B634" s="2"/>
      <c r="C634" s="2"/>
      <c r="D634" s="2"/>
      <c r="E634" s="2"/>
      <c r="F634" s="2"/>
      <c r="G634" s="2"/>
      <c r="H634" s="2"/>
    </row>
    <row r="635" spans="1:8" ht="15.7" customHeight="1" x14ac:dyDescent="0.3">
      <c r="A635" s="2"/>
      <c r="B635" s="2"/>
      <c r="C635" s="2"/>
      <c r="D635" s="2"/>
      <c r="E635" s="2"/>
      <c r="F635" s="2"/>
      <c r="G635" s="2"/>
      <c r="H635" s="2"/>
    </row>
    <row r="636" spans="1:8" ht="15.7" customHeight="1" x14ac:dyDescent="0.3">
      <c r="A636" s="2"/>
      <c r="B636" s="2"/>
      <c r="C636" s="2"/>
      <c r="D636" s="2"/>
      <c r="E636" s="2"/>
      <c r="F636" s="2"/>
      <c r="G636" s="2"/>
      <c r="H636" s="2"/>
    </row>
    <row r="637" spans="1:8" ht="15.7" customHeight="1" x14ac:dyDescent="0.3">
      <c r="A637" s="2"/>
      <c r="B637" s="2"/>
      <c r="C637" s="2"/>
      <c r="D637" s="2"/>
      <c r="E637" s="2"/>
      <c r="F637" s="2"/>
      <c r="G637" s="2"/>
      <c r="H637" s="2"/>
    </row>
    <row r="638" spans="1:8" ht="15.7" customHeight="1" x14ac:dyDescent="0.3">
      <c r="A638" s="2"/>
      <c r="B638" s="2"/>
      <c r="C638" s="2"/>
      <c r="D638" s="2"/>
      <c r="E638" s="2"/>
      <c r="F638" s="2"/>
      <c r="G638" s="2"/>
      <c r="H638" s="2"/>
    </row>
    <row r="639" spans="1:8" ht="15.7" customHeight="1" x14ac:dyDescent="0.3">
      <c r="A639" s="2"/>
      <c r="B639" s="2"/>
      <c r="C639" s="2"/>
      <c r="D639" s="2"/>
      <c r="E639" s="2"/>
      <c r="F639" s="2"/>
      <c r="G639" s="2"/>
      <c r="H639" s="2"/>
    </row>
    <row r="640" spans="1:8" ht="15.7" customHeight="1" x14ac:dyDescent="0.3">
      <c r="A640" s="2"/>
      <c r="B640" s="2"/>
      <c r="C640" s="2"/>
      <c r="D640" s="2"/>
      <c r="E640" s="2"/>
      <c r="F640" s="2"/>
      <c r="G640" s="2"/>
      <c r="H640" s="2"/>
    </row>
    <row r="641" spans="1:8" ht="15.7" customHeight="1" x14ac:dyDescent="0.3">
      <c r="A641" s="2"/>
      <c r="B641" s="2"/>
      <c r="C641" s="2"/>
      <c r="D641" s="2"/>
      <c r="E641" s="2"/>
      <c r="F641" s="2"/>
      <c r="G641" s="2"/>
      <c r="H641" s="2"/>
    </row>
    <row r="642" spans="1:8" ht="15.7" customHeight="1" x14ac:dyDescent="0.3">
      <c r="A642" s="2"/>
      <c r="B642" s="2"/>
      <c r="C642" s="2"/>
      <c r="D642" s="2"/>
      <c r="E642" s="2"/>
      <c r="F642" s="2"/>
      <c r="G642" s="2"/>
      <c r="H642" s="2"/>
    </row>
    <row r="643" spans="1:8" ht="15.7" customHeight="1" x14ac:dyDescent="0.3">
      <c r="A643" s="2"/>
      <c r="B643" s="2"/>
      <c r="C643" s="2"/>
      <c r="D643" s="2"/>
      <c r="E643" s="2"/>
      <c r="F643" s="2"/>
      <c r="G643" s="2"/>
      <c r="H643" s="2"/>
    </row>
    <row r="644" spans="1:8" ht="15.7" customHeight="1" x14ac:dyDescent="0.3">
      <c r="A644" s="2"/>
      <c r="B644" s="2"/>
      <c r="C644" s="2"/>
      <c r="D644" s="2"/>
      <c r="E644" s="2"/>
      <c r="F644" s="2"/>
      <c r="G644" s="2"/>
      <c r="H644" s="2"/>
    </row>
    <row r="645" spans="1:8" ht="15.7" customHeight="1" x14ac:dyDescent="0.3">
      <c r="A645" s="2"/>
      <c r="B645" s="2"/>
      <c r="C645" s="2"/>
      <c r="D645" s="2"/>
      <c r="E645" s="2"/>
      <c r="F645" s="2"/>
      <c r="G645" s="2"/>
      <c r="H645" s="2"/>
    </row>
    <row r="646" spans="1:8" ht="15.7" customHeight="1" x14ac:dyDescent="0.3">
      <c r="A646" s="2"/>
      <c r="B646" s="2"/>
      <c r="C646" s="2"/>
      <c r="D646" s="2"/>
      <c r="E646" s="2"/>
      <c r="F646" s="2"/>
      <c r="G646" s="2"/>
      <c r="H646" s="2"/>
    </row>
    <row r="647" spans="1:8" ht="15.7" customHeight="1" x14ac:dyDescent="0.3">
      <c r="A647" s="2"/>
      <c r="B647" s="2"/>
      <c r="C647" s="2"/>
      <c r="D647" s="2"/>
      <c r="E647" s="2"/>
      <c r="F647" s="2"/>
      <c r="G647" s="2"/>
      <c r="H647" s="2"/>
    </row>
    <row r="648" spans="1:8" ht="15.7" customHeight="1" x14ac:dyDescent="0.3">
      <c r="A648" s="2"/>
      <c r="B648" s="2"/>
      <c r="C648" s="2"/>
      <c r="D648" s="2"/>
      <c r="E648" s="2"/>
      <c r="F648" s="2"/>
      <c r="G648" s="2"/>
      <c r="H648" s="2"/>
    </row>
    <row r="649" spans="1:8" ht="15.7" customHeight="1" x14ac:dyDescent="0.3">
      <c r="A649" s="2"/>
      <c r="B649" s="2"/>
      <c r="C649" s="2"/>
      <c r="D649" s="2"/>
      <c r="E649" s="2"/>
      <c r="F649" s="2"/>
      <c r="G649" s="2"/>
      <c r="H649" s="2"/>
    </row>
    <row r="650" spans="1:8" ht="15.7" customHeight="1" x14ac:dyDescent="0.3">
      <c r="A650" s="2"/>
      <c r="B650" s="2"/>
      <c r="C650" s="2"/>
      <c r="D650" s="2"/>
      <c r="E650" s="2"/>
      <c r="F650" s="2"/>
      <c r="G650" s="2"/>
      <c r="H650" s="2"/>
    </row>
    <row r="651" spans="1:8" ht="15.7" customHeight="1" x14ac:dyDescent="0.3">
      <c r="A651" s="2"/>
      <c r="B651" s="2"/>
      <c r="C651" s="2"/>
      <c r="D651" s="2"/>
      <c r="E651" s="2"/>
      <c r="F651" s="2"/>
      <c r="G651" s="2"/>
      <c r="H651" s="2"/>
    </row>
    <row r="652" spans="1:8" ht="15.7" customHeight="1" x14ac:dyDescent="0.3">
      <c r="A652" s="2"/>
      <c r="B652" s="2"/>
      <c r="C652" s="2"/>
      <c r="D652" s="2"/>
      <c r="E652" s="2"/>
      <c r="F652" s="2"/>
      <c r="G652" s="2"/>
      <c r="H652" s="2"/>
    </row>
    <row r="653" spans="1:8" ht="15.7" customHeight="1" x14ac:dyDescent="0.3">
      <c r="A653" s="2"/>
      <c r="B653" s="2"/>
      <c r="C653" s="2"/>
      <c r="D653" s="2"/>
      <c r="E653" s="2"/>
      <c r="F653" s="2"/>
      <c r="G653" s="2"/>
      <c r="H653" s="2"/>
    </row>
    <row r="654" spans="1:8" ht="15.7" customHeight="1" x14ac:dyDescent="0.3">
      <c r="A654" s="2"/>
      <c r="B654" s="2"/>
      <c r="C654" s="2"/>
      <c r="D654" s="2"/>
      <c r="E654" s="2"/>
      <c r="F654" s="2"/>
      <c r="G654" s="2"/>
      <c r="H654" s="2"/>
    </row>
    <row r="655" spans="1:8" ht="15.7" customHeight="1" x14ac:dyDescent="0.3">
      <c r="A655" s="2"/>
      <c r="B655" s="2"/>
      <c r="C655" s="2"/>
      <c r="D655" s="2"/>
      <c r="E655" s="2"/>
      <c r="F655" s="2"/>
      <c r="G655" s="2"/>
      <c r="H655" s="2"/>
    </row>
    <row r="656" spans="1:8" ht="15.7" customHeight="1" x14ac:dyDescent="0.3">
      <c r="A656" s="2"/>
      <c r="B656" s="2"/>
      <c r="C656" s="2"/>
      <c r="D656" s="2"/>
      <c r="E656" s="2"/>
      <c r="F656" s="2"/>
      <c r="G656" s="2"/>
      <c r="H656" s="2"/>
    </row>
    <row r="657" spans="1:8" ht="15.7" customHeight="1" x14ac:dyDescent="0.3">
      <c r="A657" s="2"/>
      <c r="B657" s="2"/>
      <c r="C657" s="2"/>
      <c r="D657" s="2"/>
      <c r="E657" s="2"/>
      <c r="F657" s="2"/>
      <c r="G657" s="2"/>
      <c r="H657" s="2"/>
    </row>
    <row r="658" spans="1:8" ht="15.7" customHeight="1" x14ac:dyDescent="0.3">
      <c r="A658" s="2"/>
      <c r="B658" s="2"/>
      <c r="C658" s="2"/>
      <c r="D658" s="2"/>
      <c r="E658" s="2"/>
      <c r="F658" s="2"/>
      <c r="G658" s="2"/>
      <c r="H658" s="2"/>
    </row>
    <row r="659" spans="1:8" ht="15.7" customHeight="1" x14ac:dyDescent="0.3">
      <c r="A659" s="2"/>
      <c r="B659" s="2"/>
      <c r="C659" s="2"/>
      <c r="D659" s="2"/>
      <c r="E659" s="2"/>
      <c r="F659" s="2"/>
      <c r="G659" s="2"/>
      <c r="H659" s="2"/>
    </row>
    <row r="660" spans="1:8" ht="15.7" customHeight="1" x14ac:dyDescent="0.3">
      <c r="A660" s="2"/>
      <c r="B660" s="2"/>
      <c r="C660" s="2"/>
      <c r="D660" s="2"/>
      <c r="E660" s="2"/>
      <c r="F660" s="2"/>
      <c r="G660" s="2"/>
      <c r="H660" s="2"/>
    </row>
    <row r="661" spans="1:8" ht="15.7" customHeight="1" x14ac:dyDescent="0.3">
      <c r="A661" s="2"/>
      <c r="B661" s="2"/>
      <c r="C661" s="2"/>
      <c r="D661" s="2"/>
      <c r="E661" s="2"/>
      <c r="F661" s="2"/>
      <c r="G661" s="2"/>
      <c r="H661" s="2"/>
    </row>
    <row r="662" spans="1:8" ht="15.7" customHeight="1" x14ac:dyDescent="0.3">
      <c r="A662" s="2"/>
      <c r="B662" s="2"/>
      <c r="C662" s="2"/>
      <c r="D662" s="2"/>
      <c r="E662" s="2"/>
      <c r="F662" s="2"/>
      <c r="G662" s="2"/>
      <c r="H662" s="2"/>
    </row>
    <row r="663" spans="1:8" ht="15.7" customHeight="1" x14ac:dyDescent="0.3">
      <c r="A663" s="2"/>
      <c r="B663" s="2"/>
      <c r="C663" s="2"/>
      <c r="D663" s="2"/>
      <c r="E663" s="2"/>
      <c r="F663" s="2"/>
      <c r="G663" s="2"/>
      <c r="H663" s="2"/>
    </row>
    <row r="664" spans="1:8" ht="15.7" customHeight="1" x14ac:dyDescent="0.3">
      <c r="A664" s="2"/>
      <c r="B664" s="2"/>
      <c r="C664" s="2"/>
      <c r="D664" s="2"/>
      <c r="E664" s="2"/>
      <c r="F664" s="2"/>
      <c r="G664" s="2"/>
      <c r="H664" s="2"/>
    </row>
    <row r="665" spans="1:8" ht="15.7" customHeight="1" x14ac:dyDescent="0.3">
      <c r="A665" s="2"/>
      <c r="B665" s="2"/>
      <c r="C665" s="2"/>
      <c r="D665" s="2"/>
      <c r="E665" s="2"/>
      <c r="F665" s="2"/>
      <c r="G665" s="2"/>
      <c r="H665" s="2"/>
    </row>
    <row r="666" spans="1:8" ht="15.7" customHeight="1" x14ac:dyDescent="0.3">
      <c r="A666" s="2"/>
      <c r="B666" s="2"/>
      <c r="C666" s="2"/>
      <c r="D666" s="2"/>
      <c r="E666" s="2"/>
      <c r="F666" s="2"/>
      <c r="G666" s="2"/>
      <c r="H666" s="2"/>
    </row>
    <row r="667" spans="1:8" ht="15.7" customHeight="1" x14ac:dyDescent="0.3">
      <c r="A667" s="2"/>
      <c r="B667" s="2"/>
      <c r="C667" s="2"/>
      <c r="D667" s="2"/>
      <c r="E667" s="2"/>
      <c r="F667" s="2"/>
      <c r="G667" s="2"/>
      <c r="H667" s="2"/>
    </row>
    <row r="668" spans="1:8" ht="15.7" customHeight="1" x14ac:dyDescent="0.3">
      <c r="A668" s="2"/>
      <c r="B668" s="2"/>
      <c r="C668" s="2"/>
      <c r="D668" s="2"/>
      <c r="E668" s="2"/>
      <c r="F668" s="2"/>
      <c r="G668" s="2"/>
      <c r="H668" s="2"/>
    </row>
    <row r="669" spans="1:8" ht="15.7" customHeight="1" x14ac:dyDescent="0.3">
      <c r="A669" s="2"/>
      <c r="B669" s="2"/>
      <c r="C669" s="2"/>
      <c r="D669" s="2"/>
      <c r="E669" s="2"/>
      <c r="F669" s="2"/>
      <c r="G669" s="2"/>
      <c r="H669" s="2"/>
    </row>
    <row r="670" spans="1:8" ht="15.7" customHeight="1" x14ac:dyDescent="0.3">
      <c r="A670" s="2"/>
      <c r="B670" s="2"/>
      <c r="C670" s="2"/>
      <c r="D670" s="2"/>
      <c r="E670" s="2"/>
      <c r="F670" s="2"/>
      <c r="G670" s="2"/>
      <c r="H670" s="2"/>
    </row>
    <row r="671" spans="1:8" ht="15.7" customHeight="1" x14ac:dyDescent="0.3">
      <c r="A671" s="2"/>
      <c r="B671" s="2"/>
      <c r="C671" s="2"/>
      <c r="D671" s="2"/>
      <c r="E671" s="2"/>
      <c r="F671" s="2"/>
      <c r="G671" s="2"/>
      <c r="H671" s="2"/>
    </row>
    <row r="672" spans="1:8" ht="15.7" customHeight="1" x14ac:dyDescent="0.3">
      <c r="A672" s="2"/>
      <c r="B672" s="2"/>
      <c r="C672" s="2"/>
      <c r="D672" s="2"/>
      <c r="E672" s="2"/>
      <c r="F672" s="2"/>
      <c r="G672" s="2"/>
      <c r="H672" s="2"/>
    </row>
    <row r="673" spans="1:8" ht="15.7" customHeight="1" x14ac:dyDescent="0.3">
      <c r="A673" s="2"/>
      <c r="B673" s="2"/>
      <c r="C673" s="2"/>
      <c r="D673" s="2"/>
      <c r="E673" s="2"/>
      <c r="F673" s="2"/>
      <c r="G673" s="2"/>
      <c r="H673" s="2"/>
    </row>
    <row r="674" spans="1:8" ht="15.7" customHeight="1" x14ac:dyDescent="0.3">
      <c r="A674" s="2"/>
      <c r="B674" s="2"/>
      <c r="C674" s="2"/>
      <c r="D674" s="2"/>
      <c r="E674" s="2"/>
      <c r="F674" s="2"/>
      <c r="G674" s="2"/>
      <c r="H674" s="2"/>
    </row>
    <row r="675" spans="1:8" ht="15.7" customHeight="1" x14ac:dyDescent="0.3">
      <c r="A675" s="2"/>
      <c r="B675" s="2"/>
      <c r="C675" s="2"/>
      <c r="D675" s="2"/>
      <c r="E675" s="2"/>
      <c r="F675" s="2"/>
      <c r="G675" s="2"/>
      <c r="H675" s="2"/>
    </row>
    <row r="676" spans="1:8" ht="15.7" customHeight="1" x14ac:dyDescent="0.3">
      <c r="A676" s="2"/>
      <c r="B676" s="2"/>
      <c r="C676" s="2"/>
      <c r="D676" s="2"/>
      <c r="E676" s="2"/>
      <c r="F676" s="2"/>
      <c r="G676" s="2"/>
      <c r="H676" s="2"/>
    </row>
    <row r="677" spans="1:8" ht="15.7" customHeight="1" x14ac:dyDescent="0.3">
      <c r="A677" s="2"/>
      <c r="B677" s="2"/>
      <c r="C677" s="2"/>
      <c r="D677" s="2"/>
      <c r="E677" s="2"/>
      <c r="F677" s="2"/>
      <c r="G677" s="2"/>
      <c r="H677" s="2"/>
    </row>
    <row r="678" spans="1:8" ht="15.7" customHeight="1" x14ac:dyDescent="0.3">
      <c r="A678" s="2"/>
      <c r="B678" s="2"/>
      <c r="C678" s="2"/>
      <c r="D678" s="2"/>
      <c r="E678" s="2"/>
      <c r="F678" s="2"/>
      <c r="G678" s="2"/>
      <c r="H678" s="2"/>
    </row>
    <row r="679" spans="1:8" ht="15.7" customHeight="1" x14ac:dyDescent="0.3">
      <c r="A679" s="2"/>
      <c r="B679" s="2"/>
      <c r="C679" s="2"/>
      <c r="D679" s="2"/>
      <c r="E679" s="2"/>
      <c r="F679" s="2"/>
      <c r="G679" s="2"/>
      <c r="H679" s="2"/>
    </row>
    <row r="680" spans="1:8" ht="15.7" customHeight="1" x14ac:dyDescent="0.3">
      <c r="A680" s="2"/>
      <c r="B680" s="2"/>
      <c r="C680" s="2"/>
      <c r="D680" s="2"/>
      <c r="E680" s="2"/>
      <c r="F680" s="2"/>
      <c r="G680" s="2"/>
      <c r="H680" s="2"/>
    </row>
    <row r="681" spans="1:8" ht="15.7" customHeight="1" x14ac:dyDescent="0.3">
      <c r="A681" s="2"/>
      <c r="B681" s="2"/>
      <c r="C681" s="2"/>
      <c r="D681" s="2"/>
      <c r="E681" s="2"/>
      <c r="F681" s="2"/>
      <c r="G681" s="2"/>
      <c r="H681" s="2"/>
    </row>
    <row r="682" spans="1:8" ht="15.7" customHeight="1" x14ac:dyDescent="0.3">
      <c r="A682" s="2"/>
      <c r="B682" s="2"/>
      <c r="C682" s="2"/>
      <c r="D682" s="2"/>
      <c r="E682" s="2"/>
      <c r="F682" s="2"/>
      <c r="G682" s="2"/>
      <c r="H682" s="2"/>
    </row>
    <row r="683" spans="1:8" ht="15.7" customHeight="1" x14ac:dyDescent="0.3">
      <c r="A683" s="2"/>
      <c r="B683" s="2"/>
      <c r="C683" s="2"/>
      <c r="D683" s="2"/>
      <c r="E683" s="2"/>
      <c r="F683" s="2"/>
      <c r="G683" s="2"/>
      <c r="H683" s="2"/>
    </row>
    <row r="684" spans="1:8" ht="15.7" customHeight="1" x14ac:dyDescent="0.3">
      <c r="A684" s="2"/>
      <c r="B684" s="2"/>
      <c r="C684" s="2"/>
      <c r="D684" s="2"/>
      <c r="E684" s="2"/>
      <c r="F684" s="2"/>
      <c r="G684" s="2"/>
      <c r="H684" s="2"/>
    </row>
    <row r="685" spans="1:8" ht="15.7" customHeight="1" x14ac:dyDescent="0.3">
      <c r="A685" s="2"/>
      <c r="B685" s="2"/>
      <c r="C685" s="2"/>
      <c r="D685" s="2"/>
      <c r="E685" s="2"/>
      <c r="F685" s="2"/>
      <c r="G685" s="2"/>
      <c r="H685" s="2"/>
    </row>
    <row r="686" spans="1:8" ht="15.7" customHeight="1" x14ac:dyDescent="0.3">
      <c r="A686" s="2"/>
      <c r="B686" s="2"/>
      <c r="C686" s="2"/>
      <c r="D686" s="2"/>
      <c r="E686" s="2"/>
      <c r="F686" s="2"/>
      <c r="G686" s="2"/>
      <c r="H686" s="2"/>
    </row>
    <row r="687" spans="1:8" ht="15.7" customHeight="1" x14ac:dyDescent="0.3">
      <c r="A687" s="2"/>
      <c r="B687" s="2"/>
      <c r="C687" s="2"/>
      <c r="D687" s="2"/>
      <c r="E687" s="2"/>
      <c r="F687" s="2"/>
      <c r="G687" s="2"/>
      <c r="H687" s="2"/>
    </row>
    <row r="688" spans="1:8" ht="15.7" customHeight="1" x14ac:dyDescent="0.3">
      <c r="A688" s="2"/>
      <c r="B688" s="2"/>
      <c r="C688" s="2"/>
      <c r="D688" s="2"/>
      <c r="E688" s="2"/>
      <c r="F688" s="2"/>
      <c r="G688" s="2"/>
      <c r="H688" s="2"/>
    </row>
    <row r="689" spans="1:8" ht="15.7" customHeight="1" x14ac:dyDescent="0.3">
      <c r="A689" s="2"/>
      <c r="B689" s="2"/>
      <c r="C689" s="2"/>
      <c r="D689" s="2"/>
      <c r="E689" s="2"/>
      <c r="F689" s="2"/>
      <c r="G689" s="2"/>
      <c r="H689" s="2"/>
    </row>
    <row r="690" spans="1:8" ht="15.7" customHeight="1" x14ac:dyDescent="0.3">
      <c r="A690" s="2"/>
      <c r="B690" s="2"/>
      <c r="C690" s="2"/>
      <c r="D690" s="2"/>
      <c r="E690" s="2"/>
      <c r="F690" s="2"/>
      <c r="G690" s="2"/>
      <c r="H690" s="2"/>
    </row>
    <row r="691" spans="1:8" ht="15.7" customHeight="1" x14ac:dyDescent="0.3">
      <c r="A691" s="2"/>
      <c r="B691" s="2"/>
      <c r="C691" s="2"/>
      <c r="D691" s="2"/>
      <c r="E691" s="2"/>
      <c r="F691" s="2"/>
      <c r="G691" s="2"/>
      <c r="H691" s="2"/>
    </row>
    <row r="692" spans="1:8" ht="15.7" customHeight="1" x14ac:dyDescent="0.3">
      <c r="A692" s="2"/>
      <c r="B692" s="2"/>
      <c r="C692" s="2"/>
      <c r="D692" s="2"/>
      <c r="E692" s="2"/>
      <c r="F692" s="2"/>
      <c r="G692" s="2"/>
      <c r="H692" s="2"/>
    </row>
    <row r="693" spans="1:8" ht="15.7" customHeight="1" x14ac:dyDescent="0.3">
      <c r="A693" s="2"/>
      <c r="B693" s="2"/>
      <c r="C693" s="2"/>
      <c r="D693" s="2"/>
      <c r="E693" s="2"/>
      <c r="F693" s="2"/>
      <c r="G693" s="2"/>
      <c r="H693" s="2"/>
    </row>
    <row r="694" spans="1:8" ht="15.7" customHeight="1" x14ac:dyDescent="0.3">
      <c r="A694" s="2"/>
      <c r="B694" s="2"/>
      <c r="C694" s="2"/>
      <c r="D694" s="2"/>
      <c r="E694" s="2"/>
      <c r="F694" s="2"/>
      <c r="G694" s="2"/>
      <c r="H694" s="2"/>
    </row>
    <row r="695" spans="1:8" ht="15.7" customHeight="1" x14ac:dyDescent="0.3">
      <c r="A695" s="2"/>
      <c r="B695" s="2"/>
      <c r="C695" s="2"/>
      <c r="D695" s="2"/>
      <c r="E695" s="2"/>
      <c r="F695" s="2"/>
      <c r="G695" s="2"/>
      <c r="H695" s="2"/>
    </row>
    <row r="696" spans="1:8" ht="15.7" customHeight="1" x14ac:dyDescent="0.3">
      <c r="A696" s="2"/>
      <c r="B696" s="2"/>
      <c r="C696" s="2"/>
      <c r="D696" s="2"/>
      <c r="E696" s="2"/>
      <c r="F696" s="2"/>
      <c r="G696" s="2"/>
      <c r="H696" s="2"/>
    </row>
    <row r="697" spans="1:8" ht="15.7" customHeight="1" x14ac:dyDescent="0.3">
      <c r="A697" s="2"/>
      <c r="B697" s="2"/>
      <c r="C697" s="2"/>
      <c r="D697" s="2"/>
      <c r="E697" s="2"/>
      <c r="F697" s="2"/>
      <c r="G697" s="2"/>
      <c r="H697" s="2"/>
    </row>
    <row r="698" spans="1:8" ht="15.7" customHeight="1" x14ac:dyDescent="0.3">
      <c r="A698" s="2"/>
      <c r="B698" s="2"/>
      <c r="C698" s="2"/>
      <c r="D698" s="2"/>
      <c r="E698" s="2"/>
      <c r="F698" s="2"/>
      <c r="G698" s="2"/>
      <c r="H698" s="2"/>
    </row>
    <row r="699" spans="1:8" ht="15.7" customHeight="1" x14ac:dyDescent="0.3">
      <c r="A699" s="2"/>
      <c r="B699" s="2"/>
      <c r="C699" s="2"/>
      <c r="D699" s="2"/>
      <c r="E699" s="2"/>
      <c r="F699" s="2"/>
      <c r="G699" s="2"/>
      <c r="H699" s="2"/>
    </row>
    <row r="700" spans="1:8" ht="15.7" customHeight="1" x14ac:dyDescent="0.3">
      <c r="A700" s="2"/>
      <c r="B700" s="2"/>
      <c r="C700" s="2"/>
      <c r="D700" s="2"/>
      <c r="E700" s="2"/>
      <c r="F700" s="2"/>
      <c r="G700" s="2"/>
      <c r="H700" s="2"/>
    </row>
    <row r="701" spans="1:8" ht="15.7" customHeight="1" x14ac:dyDescent="0.3">
      <c r="A701" s="2"/>
      <c r="B701" s="2"/>
      <c r="C701" s="2"/>
      <c r="D701" s="2"/>
      <c r="E701" s="2"/>
      <c r="F701" s="2"/>
      <c r="G701" s="2"/>
      <c r="H701" s="2"/>
    </row>
    <row r="702" spans="1:8" ht="15.7" customHeight="1" x14ac:dyDescent="0.3">
      <c r="A702" s="2"/>
      <c r="B702" s="2"/>
      <c r="C702" s="2"/>
      <c r="D702" s="2"/>
      <c r="E702" s="2"/>
      <c r="F702" s="2"/>
      <c r="G702" s="2"/>
      <c r="H702" s="2"/>
    </row>
    <row r="703" spans="1:8" ht="15.7" customHeight="1" x14ac:dyDescent="0.3">
      <c r="A703" s="2"/>
      <c r="B703" s="2"/>
      <c r="C703" s="2"/>
      <c r="D703" s="2"/>
      <c r="E703" s="2"/>
      <c r="F703" s="2"/>
      <c r="G703" s="2"/>
      <c r="H703" s="2"/>
    </row>
    <row r="704" spans="1:8" ht="15.7" customHeight="1" x14ac:dyDescent="0.3">
      <c r="A704" s="2"/>
      <c r="B704" s="2"/>
      <c r="C704" s="2"/>
      <c r="D704" s="2"/>
      <c r="E704" s="2"/>
      <c r="F704" s="2"/>
      <c r="G704" s="2"/>
      <c r="H704" s="2"/>
    </row>
    <row r="705" spans="1:8" ht="15.7" customHeight="1" x14ac:dyDescent="0.3">
      <c r="A705" s="2"/>
      <c r="B705" s="2"/>
      <c r="C705" s="2"/>
      <c r="D705" s="2"/>
      <c r="E705" s="2"/>
      <c r="F705" s="2"/>
      <c r="G705" s="2"/>
      <c r="H705" s="2"/>
    </row>
    <row r="706" spans="1:8" ht="15.7" customHeight="1" x14ac:dyDescent="0.3">
      <c r="A706" s="2"/>
      <c r="B706" s="2"/>
      <c r="C706" s="2"/>
      <c r="D706" s="2"/>
      <c r="E706" s="2"/>
      <c r="F706" s="2"/>
      <c r="G706" s="2"/>
      <c r="H706" s="2"/>
    </row>
    <row r="707" spans="1:8" ht="15.7" customHeight="1" x14ac:dyDescent="0.3">
      <c r="A707" s="2"/>
      <c r="B707" s="2"/>
      <c r="C707" s="2"/>
      <c r="D707" s="2"/>
      <c r="E707" s="2"/>
      <c r="F707" s="2"/>
      <c r="G707" s="2"/>
      <c r="H707" s="2"/>
    </row>
    <row r="708" spans="1:8" ht="15.7" customHeight="1" x14ac:dyDescent="0.3">
      <c r="A708" s="2"/>
      <c r="B708" s="2"/>
      <c r="C708" s="2"/>
      <c r="D708" s="2"/>
      <c r="E708" s="2"/>
      <c r="F708" s="2"/>
      <c r="G708" s="2"/>
      <c r="H708" s="2"/>
    </row>
    <row r="709" spans="1:8" ht="15.7" customHeight="1" x14ac:dyDescent="0.3">
      <c r="A709" s="2"/>
      <c r="B709" s="2"/>
      <c r="C709" s="2"/>
      <c r="D709" s="2"/>
      <c r="E709" s="2"/>
      <c r="F709" s="2"/>
      <c r="G709" s="2"/>
      <c r="H709" s="2"/>
    </row>
    <row r="710" spans="1:8" ht="15.7" customHeight="1" x14ac:dyDescent="0.3">
      <c r="A710" s="2"/>
      <c r="B710" s="2"/>
      <c r="C710" s="2"/>
      <c r="D710" s="2"/>
      <c r="E710" s="2"/>
      <c r="F710" s="2"/>
      <c r="G710" s="2"/>
      <c r="H710" s="2"/>
    </row>
    <row r="711" spans="1:8" ht="15.7" customHeight="1" x14ac:dyDescent="0.3">
      <c r="A711" s="2"/>
      <c r="B711" s="2"/>
      <c r="C711" s="2"/>
      <c r="D711" s="2"/>
      <c r="E711" s="2"/>
      <c r="F711" s="2"/>
      <c r="G711" s="2"/>
      <c r="H711" s="2"/>
    </row>
    <row r="712" spans="1:8" ht="15.7" customHeight="1" x14ac:dyDescent="0.3">
      <c r="A712" s="2"/>
      <c r="B712" s="2"/>
      <c r="C712" s="2"/>
      <c r="D712" s="2"/>
      <c r="E712" s="2"/>
      <c r="F712" s="2"/>
      <c r="G712" s="2"/>
      <c r="H712" s="2"/>
    </row>
    <row r="713" spans="1:8" ht="15.7" customHeight="1" x14ac:dyDescent="0.3">
      <c r="A713" s="2"/>
      <c r="B713" s="2"/>
      <c r="C713" s="2"/>
      <c r="D713" s="2"/>
      <c r="E713" s="2"/>
      <c r="F713" s="2"/>
      <c r="G713" s="2"/>
      <c r="H713" s="2"/>
    </row>
    <row r="714" spans="1:8" ht="15.7" customHeight="1" x14ac:dyDescent="0.3">
      <c r="A714" s="2"/>
      <c r="B714" s="2"/>
      <c r="C714" s="2"/>
      <c r="D714" s="2"/>
      <c r="E714" s="2"/>
      <c r="F714" s="2"/>
      <c r="G714" s="2"/>
      <c r="H714" s="2"/>
    </row>
    <row r="715" spans="1:8" ht="15.7" customHeight="1" x14ac:dyDescent="0.3">
      <c r="A715" s="2"/>
      <c r="B715" s="2"/>
      <c r="C715" s="2"/>
      <c r="D715" s="2"/>
      <c r="E715" s="2"/>
      <c r="F715" s="2"/>
      <c r="G715" s="2"/>
      <c r="H715" s="2"/>
    </row>
    <row r="716" spans="1:8" ht="15.7" customHeight="1" x14ac:dyDescent="0.3">
      <c r="A716" s="2"/>
      <c r="B716" s="2"/>
      <c r="C716" s="2"/>
      <c r="D716" s="2"/>
      <c r="E716" s="2"/>
      <c r="F716" s="2"/>
      <c r="G716" s="2"/>
      <c r="H716" s="2"/>
    </row>
    <row r="717" spans="1:8" ht="15.7" customHeight="1" x14ac:dyDescent="0.3">
      <c r="A717" s="2"/>
      <c r="B717" s="2"/>
      <c r="C717" s="2"/>
      <c r="D717" s="2"/>
      <c r="E717" s="2"/>
      <c r="F717" s="2"/>
      <c r="G717" s="2"/>
      <c r="H717" s="2"/>
    </row>
    <row r="718" spans="1:8" ht="15.7" customHeight="1" x14ac:dyDescent="0.3">
      <c r="A718" s="2"/>
      <c r="B718" s="2"/>
      <c r="C718" s="2"/>
      <c r="D718" s="2"/>
      <c r="E718" s="2"/>
      <c r="F718" s="2"/>
      <c r="G718" s="2"/>
      <c r="H718" s="2"/>
    </row>
    <row r="719" spans="1:8" ht="15.7" customHeight="1" x14ac:dyDescent="0.3">
      <c r="A719" s="2"/>
      <c r="B719" s="2"/>
      <c r="C719" s="2"/>
      <c r="D719" s="2"/>
      <c r="E719" s="2"/>
      <c r="F719" s="2"/>
      <c r="G719" s="2"/>
      <c r="H719" s="2"/>
    </row>
    <row r="720" spans="1:8" ht="15.7" customHeight="1" x14ac:dyDescent="0.3">
      <c r="A720" s="2"/>
      <c r="B720" s="2"/>
      <c r="C720" s="2"/>
      <c r="D720" s="2"/>
      <c r="E720" s="2"/>
      <c r="F720" s="2"/>
      <c r="G720" s="2"/>
      <c r="H720" s="2"/>
    </row>
    <row r="721" spans="1:8" ht="15.7" customHeight="1" x14ac:dyDescent="0.3">
      <c r="A721" s="2"/>
      <c r="B721" s="2"/>
      <c r="C721" s="2"/>
      <c r="D721" s="2"/>
      <c r="E721" s="2"/>
      <c r="F721" s="2"/>
      <c r="G721" s="2"/>
      <c r="H721" s="2"/>
    </row>
    <row r="722" spans="1:8" ht="15.7" customHeight="1" x14ac:dyDescent="0.3">
      <c r="A722" s="2"/>
      <c r="B722" s="2"/>
      <c r="C722" s="2"/>
      <c r="D722" s="2"/>
      <c r="E722" s="2"/>
      <c r="F722" s="2"/>
      <c r="G722" s="2"/>
      <c r="H722" s="2"/>
    </row>
    <row r="723" spans="1:8" ht="15.7" customHeight="1" x14ac:dyDescent="0.3">
      <c r="A723" s="2"/>
      <c r="B723" s="2"/>
      <c r="C723" s="2"/>
      <c r="D723" s="2"/>
      <c r="E723" s="2"/>
      <c r="F723" s="2"/>
      <c r="G723" s="2"/>
      <c r="H723" s="2"/>
    </row>
    <row r="724" spans="1:8" ht="15.7" customHeight="1" x14ac:dyDescent="0.3">
      <c r="A724" s="2"/>
      <c r="B724" s="2"/>
      <c r="C724" s="2"/>
      <c r="D724" s="2"/>
      <c r="E724" s="2"/>
      <c r="F724" s="2"/>
      <c r="G724" s="2"/>
      <c r="H724" s="2"/>
    </row>
    <row r="725" spans="1:8" ht="15.7" customHeight="1" x14ac:dyDescent="0.3">
      <c r="A725" s="2"/>
      <c r="B725" s="2"/>
      <c r="C725" s="2"/>
      <c r="D725" s="2"/>
      <c r="E725" s="2"/>
      <c r="F725" s="2"/>
      <c r="G725" s="2"/>
      <c r="H725" s="2"/>
    </row>
    <row r="726" spans="1:8" ht="15.7" customHeight="1" x14ac:dyDescent="0.3">
      <c r="A726" s="2"/>
      <c r="B726" s="2"/>
      <c r="C726" s="2"/>
      <c r="D726" s="2"/>
      <c r="E726" s="2"/>
      <c r="F726" s="2"/>
      <c r="G726" s="2"/>
      <c r="H726" s="2"/>
    </row>
    <row r="727" spans="1:8" ht="15.7" customHeight="1" x14ac:dyDescent="0.3">
      <c r="A727" s="2"/>
      <c r="B727" s="2"/>
      <c r="C727" s="2"/>
      <c r="D727" s="2"/>
      <c r="E727" s="2"/>
      <c r="F727" s="2"/>
      <c r="G727" s="2"/>
      <c r="H727" s="2"/>
    </row>
    <row r="728" spans="1:8" ht="15.7" customHeight="1" x14ac:dyDescent="0.3">
      <c r="A728" s="2"/>
      <c r="B728" s="2"/>
      <c r="C728" s="2"/>
      <c r="D728" s="2"/>
      <c r="E728" s="2"/>
      <c r="F728" s="2"/>
      <c r="G728" s="2"/>
      <c r="H728" s="2"/>
    </row>
    <row r="729" spans="1:8" ht="15.7" customHeight="1" x14ac:dyDescent="0.3">
      <c r="A729" s="2"/>
      <c r="B729" s="2"/>
      <c r="C729" s="2"/>
      <c r="D729" s="2"/>
      <c r="E729" s="2"/>
      <c r="F729" s="2"/>
      <c r="G729" s="2"/>
      <c r="H729" s="2"/>
    </row>
    <row r="730" spans="1:8" ht="15.7" customHeight="1" x14ac:dyDescent="0.3">
      <c r="A730" s="2"/>
      <c r="B730" s="2"/>
      <c r="C730" s="2"/>
      <c r="D730" s="2"/>
      <c r="E730" s="2"/>
      <c r="F730" s="2"/>
      <c r="G730" s="2"/>
      <c r="H730" s="2"/>
    </row>
    <row r="731" spans="1:8" ht="15.7" customHeight="1" x14ac:dyDescent="0.3">
      <c r="A731" s="2"/>
      <c r="B731" s="2"/>
      <c r="C731" s="2"/>
      <c r="D731" s="2"/>
      <c r="E731" s="2"/>
      <c r="F731" s="2"/>
      <c r="G731" s="2"/>
      <c r="H731" s="2"/>
    </row>
    <row r="732" spans="1:8" ht="15.7" customHeight="1" x14ac:dyDescent="0.3">
      <c r="A732" s="2"/>
      <c r="B732" s="2"/>
      <c r="C732" s="2"/>
      <c r="D732" s="2"/>
      <c r="E732" s="2"/>
      <c r="F732" s="2"/>
      <c r="G732" s="2"/>
      <c r="H732" s="2"/>
    </row>
    <row r="733" spans="1:8" ht="15.7" customHeight="1" x14ac:dyDescent="0.3">
      <c r="A733" s="2"/>
      <c r="B733" s="2"/>
      <c r="C733" s="2"/>
      <c r="D733" s="2"/>
      <c r="E733" s="2"/>
      <c r="F733" s="2"/>
      <c r="G733" s="2"/>
      <c r="H733" s="2"/>
    </row>
    <row r="734" spans="1:8" ht="15.7" customHeight="1" x14ac:dyDescent="0.3">
      <c r="A734" s="2"/>
      <c r="B734" s="2"/>
      <c r="C734" s="2"/>
      <c r="D734" s="2"/>
      <c r="E734" s="2"/>
      <c r="F734" s="2"/>
      <c r="G734" s="2"/>
      <c r="H734" s="2"/>
    </row>
    <row r="735" spans="1:8" ht="15.7" customHeight="1" x14ac:dyDescent="0.3">
      <c r="A735" s="2"/>
      <c r="B735" s="2"/>
      <c r="C735" s="2"/>
      <c r="D735" s="2"/>
      <c r="E735" s="2"/>
      <c r="F735" s="2"/>
      <c r="G735" s="2"/>
      <c r="H735" s="2"/>
    </row>
    <row r="736" spans="1:8" ht="15.7" customHeight="1" x14ac:dyDescent="0.3">
      <c r="A736" s="2"/>
      <c r="B736" s="2"/>
      <c r="C736" s="2"/>
      <c r="D736" s="2"/>
      <c r="E736" s="2"/>
      <c r="F736" s="2"/>
      <c r="G736" s="2"/>
      <c r="H736" s="2"/>
    </row>
    <row r="737" spans="1:8" ht="15.7" customHeight="1" x14ac:dyDescent="0.3">
      <c r="A737" s="2"/>
      <c r="B737" s="2"/>
      <c r="C737" s="2"/>
      <c r="D737" s="2"/>
      <c r="E737" s="2"/>
      <c r="F737" s="2"/>
      <c r="G737" s="2"/>
      <c r="H737" s="2"/>
    </row>
    <row r="738" spans="1:8" ht="15.7" customHeight="1" x14ac:dyDescent="0.3">
      <c r="A738" s="2"/>
      <c r="B738" s="2"/>
      <c r="C738" s="2"/>
      <c r="D738" s="2"/>
      <c r="E738" s="2"/>
      <c r="F738" s="2"/>
      <c r="G738" s="2"/>
      <c r="H738" s="2"/>
    </row>
    <row r="739" spans="1:8" ht="15.7" customHeight="1" x14ac:dyDescent="0.3">
      <c r="A739" s="2"/>
      <c r="B739" s="2"/>
      <c r="C739" s="2"/>
      <c r="D739" s="2"/>
      <c r="E739" s="2"/>
      <c r="F739" s="2"/>
      <c r="G739" s="2"/>
      <c r="H739" s="2"/>
    </row>
    <row r="740" spans="1:8" ht="15.7" customHeight="1" x14ac:dyDescent="0.3">
      <c r="A740" s="2"/>
      <c r="B740" s="2"/>
      <c r="C740" s="2"/>
      <c r="D740" s="2"/>
      <c r="E740" s="2"/>
      <c r="F740" s="2"/>
      <c r="G740" s="2"/>
      <c r="H740" s="2"/>
    </row>
    <row r="741" spans="1:8" ht="15.7" customHeight="1" x14ac:dyDescent="0.3">
      <c r="A741" s="2"/>
      <c r="B741" s="2"/>
      <c r="C741" s="2"/>
      <c r="D741" s="2"/>
      <c r="E741" s="2"/>
      <c r="F741" s="2"/>
      <c r="G741" s="2"/>
      <c r="H741" s="2"/>
    </row>
    <row r="742" spans="1:8" ht="15.7" customHeight="1" x14ac:dyDescent="0.3">
      <c r="A742" s="2"/>
      <c r="B742" s="2"/>
      <c r="C742" s="2"/>
      <c r="D742" s="2"/>
      <c r="E742" s="2"/>
      <c r="F742" s="2"/>
      <c r="G742" s="2"/>
      <c r="H742" s="2"/>
    </row>
    <row r="743" spans="1:8" ht="15.7" customHeight="1" x14ac:dyDescent="0.3">
      <c r="A743" s="2"/>
      <c r="B743" s="2"/>
      <c r="C743" s="2"/>
      <c r="D743" s="2"/>
      <c r="E743" s="2"/>
      <c r="F743" s="2"/>
      <c r="G743" s="2"/>
      <c r="H743" s="2"/>
    </row>
    <row r="744" spans="1:8" ht="15.7" customHeight="1" x14ac:dyDescent="0.3">
      <c r="A744" s="2"/>
      <c r="B744" s="2"/>
      <c r="C744" s="2"/>
      <c r="D744" s="2"/>
      <c r="E744" s="2"/>
      <c r="F744" s="2"/>
      <c r="G744" s="2"/>
      <c r="H744" s="2"/>
    </row>
    <row r="745" spans="1:8" ht="15.7" customHeight="1" x14ac:dyDescent="0.3">
      <c r="A745" s="2"/>
      <c r="B745" s="2"/>
      <c r="C745" s="2"/>
      <c r="D745" s="2"/>
      <c r="E745" s="2"/>
      <c r="F745" s="2"/>
      <c r="G745" s="2"/>
      <c r="H745" s="2"/>
    </row>
    <row r="746" spans="1:8" ht="15.7" customHeight="1" x14ac:dyDescent="0.3">
      <c r="A746" s="2"/>
      <c r="B746" s="2"/>
      <c r="C746" s="2"/>
      <c r="D746" s="2"/>
      <c r="E746" s="2"/>
      <c r="F746" s="2"/>
      <c r="G746" s="2"/>
      <c r="H746" s="2"/>
    </row>
    <row r="747" spans="1:8" ht="15.7" customHeight="1" x14ac:dyDescent="0.3">
      <c r="A747" s="2"/>
      <c r="B747" s="2"/>
      <c r="C747" s="2"/>
      <c r="D747" s="2"/>
      <c r="E747" s="2"/>
      <c r="F747" s="2"/>
      <c r="G747" s="2"/>
      <c r="H747" s="2"/>
    </row>
    <row r="748" spans="1:8" ht="15.7" customHeight="1" x14ac:dyDescent="0.3">
      <c r="A748" s="2"/>
      <c r="B748" s="2"/>
      <c r="C748" s="2"/>
      <c r="D748" s="2"/>
      <c r="E748" s="2"/>
      <c r="F748" s="2"/>
      <c r="G748" s="2"/>
      <c r="H748" s="2"/>
    </row>
    <row r="749" spans="1:8" ht="15.7" customHeight="1" x14ac:dyDescent="0.3">
      <c r="A749" s="2"/>
      <c r="B749" s="2"/>
      <c r="C749" s="2"/>
      <c r="D749" s="2"/>
      <c r="E749" s="2"/>
      <c r="F749" s="2"/>
      <c r="G749" s="2"/>
      <c r="H749" s="2"/>
    </row>
    <row r="750" spans="1:8" ht="15.7" customHeight="1" x14ac:dyDescent="0.3">
      <c r="A750" s="2"/>
      <c r="B750" s="2"/>
      <c r="C750" s="2"/>
      <c r="D750" s="2"/>
      <c r="E750" s="2"/>
      <c r="F750" s="2"/>
      <c r="G750" s="2"/>
      <c r="H750" s="2"/>
    </row>
    <row r="751" spans="1:8" ht="15.7" customHeight="1" x14ac:dyDescent="0.3">
      <c r="A751" s="2"/>
      <c r="B751" s="2"/>
      <c r="C751" s="2"/>
      <c r="D751" s="2"/>
      <c r="E751" s="2"/>
      <c r="F751" s="2"/>
      <c r="G751" s="2"/>
      <c r="H751" s="2"/>
    </row>
    <row r="752" spans="1:8" ht="15.7" customHeight="1" x14ac:dyDescent="0.3">
      <c r="A752" s="2"/>
      <c r="B752" s="2"/>
      <c r="C752" s="2"/>
      <c r="D752" s="2"/>
      <c r="E752" s="2"/>
      <c r="F752" s="2"/>
      <c r="G752" s="2"/>
      <c r="H752" s="2"/>
    </row>
    <row r="753" spans="1:8" ht="15.7" customHeight="1" x14ac:dyDescent="0.3">
      <c r="A753" s="2"/>
      <c r="B753" s="2"/>
      <c r="C753" s="2"/>
      <c r="D753" s="2"/>
      <c r="E753" s="2"/>
      <c r="F753" s="2"/>
      <c r="G753" s="2"/>
      <c r="H753" s="2"/>
    </row>
    <row r="754" spans="1:8" ht="15.7" customHeight="1" x14ac:dyDescent="0.3">
      <c r="A754" s="2"/>
      <c r="B754" s="2"/>
      <c r="C754" s="2"/>
      <c r="D754" s="2"/>
      <c r="E754" s="2"/>
      <c r="F754" s="2"/>
      <c r="G754" s="2"/>
      <c r="H754" s="2"/>
    </row>
    <row r="755" spans="1:8" ht="15.7" customHeight="1" x14ac:dyDescent="0.3">
      <c r="A755" s="2"/>
      <c r="B755" s="2"/>
      <c r="C755" s="2"/>
      <c r="D755" s="2"/>
      <c r="E755" s="2"/>
      <c r="F755" s="2"/>
      <c r="G755" s="2"/>
      <c r="H755" s="2"/>
    </row>
    <row r="756" spans="1:8" ht="15.7" customHeight="1" x14ac:dyDescent="0.3">
      <c r="A756" s="2"/>
      <c r="B756" s="2"/>
      <c r="C756" s="2"/>
      <c r="D756" s="2"/>
      <c r="E756" s="2"/>
      <c r="F756" s="2"/>
      <c r="G756" s="2"/>
      <c r="H756" s="2"/>
    </row>
    <row r="757" spans="1:8" ht="15.7" customHeight="1" x14ac:dyDescent="0.3">
      <c r="A757" s="2"/>
      <c r="B757" s="2"/>
      <c r="C757" s="2"/>
      <c r="D757" s="2"/>
      <c r="E757" s="2"/>
      <c r="F757" s="2"/>
      <c r="G757" s="2"/>
      <c r="H757" s="2"/>
    </row>
    <row r="758" spans="1:8" ht="15.7" customHeight="1" x14ac:dyDescent="0.3">
      <c r="A758" s="2"/>
      <c r="B758" s="2"/>
      <c r="C758" s="2"/>
      <c r="D758" s="2"/>
      <c r="E758" s="2"/>
      <c r="F758" s="2"/>
      <c r="G758" s="2"/>
      <c r="H758" s="2"/>
    </row>
    <row r="759" spans="1:8" ht="15.7" customHeight="1" x14ac:dyDescent="0.3">
      <c r="A759" s="2"/>
      <c r="B759" s="2"/>
      <c r="C759" s="2"/>
      <c r="D759" s="2"/>
      <c r="E759" s="2"/>
      <c r="F759" s="2"/>
      <c r="G759" s="2"/>
      <c r="H759" s="2"/>
    </row>
    <row r="760" spans="1:8" ht="15.7" customHeight="1" x14ac:dyDescent="0.3">
      <c r="A760" s="2"/>
      <c r="B760" s="2"/>
      <c r="C760" s="2"/>
      <c r="D760" s="2"/>
      <c r="E760" s="2"/>
      <c r="F760" s="2"/>
      <c r="G760" s="2"/>
      <c r="H760" s="2"/>
    </row>
    <row r="761" spans="1:8" ht="15.7" customHeight="1" x14ac:dyDescent="0.3">
      <c r="A761" s="2"/>
      <c r="B761" s="2"/>
      <c r="C761" s="2"/>
      <c r="D761" s="2"/>
      <c r="E761" s="2"/>
      <c r="F761" s="2"/>
      <c r="G761" s="2"/>
      <c r="H761" s="2"/>
    </row>
    <row r="762" spans="1:8" ht="15.7" customHeight="1" x14ac:dyDescent="0.3">
      <c r="A762" s="2"/>
      <c r="B762" s="2"/>
      <c r="C762" s="2"/>
      <c r="D762" s="2"/>
      <c r="E762" s="2"/>
      <c r="F762" s="2"/>
      <c r="G762" s="2"/>
      <c r="H762" s="2"/>
    </row>
    <row r="763" spans="1:8" ht="15.7" customHeight="1" x14ac:dyDescent="0.3">
      <c r="A763" s="2"/>
      <c r="B763" s="2"/>
      <c r="C763" s="2"/>
      <c r="D763" s="2"/>
      <c r="E763" s="2"/>
      <c r="F763" s="2"/>
      <c r="G763" s="2"/>
      <c r="H763" s="2"/>
    </row>
    <row r="764" spans="1:8" ht="15.7" customHeight="1" x14ac:dyDescent="0.3">
      <c r="A764" s="2"/>
      <c r="B764" s="2"/>
      <c r="C764" s="2"/>
      <c r="D764" s="2"/>
      <c r="E764" s="2"/>
      <c r="F764" s="2"/>
      <c r="G764" s="2"/>
      <c r="H764" s="2"/>
    </row>
    <row r="765" spans="1:8" ht="15.7" customHeight="1" x14ac:dyDescent="0.3">
      <c r="A765" s="2"/>
      <c r="B765" s="2"/>
      <c r="C765" s="2"/>
      <c r="D765" s="2"/>
      <c r="E765" s="2"/>
      <c r="F765" s="2"/>
      <c r="G765" s="2"/>
      <c r="H765" s="2"/>
    </row>
    <row r="766" spans="1:8" ht="15.7" customHeight="1" x14ac:dyDescent="0.3">
      <c r="A766" s="2"/>
      <c r="B766" s="2"/>
      <c r="C766" s="2"/>
      <c r="D766" s="2"/>
      <c r="E766" s="2"/>
      <c r="F766" s="2"/>
      <c r="G766" s="2"/>
      <c r="H766" s="2"/>
    </row>
    <row r="767" spans="1:8" ht="15.7" customHeight="1" x14ac:dyDescent="0.3">
      <c r="A767" s="2"/>
      <c r="B767" s="2"/>
      <c r="C767" s="2"/>
      <c r="D767" s="2"/>
      <c r="E767" s="2"/>
      <c r="F767" s="2"/>
      <c r="G767" s="2"/>
      <c r="H767" s="2"/>
    </row>
    <row r="768" spans="1:8" ht="15.7" customHeight="1" x14ac:dyDescent="0.3">
      <c r="A768" s="2"/>
      <c r="B768" s="2"/>
      <c r="C768" s="2"/>
      <c r="D768" s="2"/>
      <c r="E768" s="2"/>
      <c r="F768" s="2"/>
      <c r="G768" s="2"/>
      <c r="H768" s="2"/>
    </row>
    <row r="769" spans="1:8" ht="15.7" customHeight="1" x14ac:dyDescent="0.3">
      <c r="A769" s="2"/>
      <c r="B769" s="2"/>
      <c r="C769" s="2"/>
      <c r="D769" s="2"/>
      <c r="E769" s="2"/>
      <c r="F769" s="2"/>
      <c r="G769" s="2"/>
      <c r="H769" s="2"/>
    </row>
    <row r="770" spans="1:8" ht="15.7" customHeight="1" x14ac:dyDescent="0.3">
      <c r="A770" s="2"/>
      <c r="B770" s="2"/>
      <c r="C770" s="2"/>
      <c r="D770" s="2"/>
      <c r="E770" s="2"/>
      <c r="F770" s="2"/>
      <c r="G770" s="2"/>
      <c r="H770" s="2"/>
    </row>
    <row r="771" spans="1:8" ht="15.7" customHeight="1" x14ac:dyDescent="0.3">
      <c r="A771" s="2"/>
      <c r="B771" s="2"/>
      <c r="C771" s="2"/>
      <c r="D771" s="2"/>
      <c r="E771" s="2"/>
      <c r="F771" s="2"/>
      <c r="G771" s="2"/>
      <c r="H771" s="2"/>
    </row>
    <row r="772" spans="1:8" ht="15.7" customHeight="1" x14ac:dyDescent="0.3">
      <c r="A772" s="2"/>
      <c r="B772" s="2"/>
      <c r="C772" s="2"/>
      <c r="D772" s="2"/>
      <c r="E772" s="2"/>
      <c r="F772" s="2"/>
      <c r="G772" s="2"/>
      <c r="H772" s="2"/>
    </row>
    <row r="773" spans="1:8" ht="15.7" customHeight="1" x14ac:dyDescent="0.3">
      <c r="A773" s="2"/>
      <c r="B773" s="2"/>
      <c r="C773" s="2"/>
      <c r="D773" s="2"/>
      <c r="E773" s="2"/>
      <c r="F773" s="2"/>
      <c r="G773" s="2"/>
      <c r="H773" s="2"/>
    </row>
    <row r="774" spans="1:8" ht="15.7" customHeight="1" x14ac:dyDescent="0.3">
      <c r="A774" s="2"/>
      <c r="B774" s="2"/>
      <c r="C774" s="2"/>
      <c r="D774" s="2"/>
      <c r="E774" s="2"/>
      <c r="F774" s="2"/>
      <c r="G774" s="2"/>
      <c r="H774" s="2"/>
    </row>
    <row r="775" spans="1:8" ht="15.7" customHeight="1" x14ac:dyDescent="0.3">
      <c r="A775" s="2"/>
      <c r="B775" s="2"/>
      <c r="C775" s="2"/>
      <c r="D775" s="2"/>
      <c r="E775" s="2"/>
      <c r="F775" s="2"/>
      <c r="G775" s="2"/>
      <c r="H775" s="2"/>
    </row>
    <row r="776" spans="1:8" ht="15.7" customHeight="1" x14ac:dyDescent="0.3">
      <c r="A776" s="2"/>
      <c r="B776" s="2"/>
      <c r="C776" s="2"/>
      <c r="D776" s="2"/>
      <c r="E776" s="2"/>
      <c r="F776" s="2"/>
      <c r="G776" s="2"/>
      <c r="H776" s="2"/>
    </row>
    <row r="777" spans="1:8" ht="15.7" customHeight="1" x14ac:dyDescent="0.3">
      <c r="A777" s="2"/>
      <c r="B777" s="2"/>
      <c r="C777" s="2"/>
      <c r="D777" s="2"/>
      <c r="E777" s="2"/>
      <c r="F777" s="2"/>
      <c r="G777" s="2"/>
      <c r="H777" s="2"/>
    </row>
    <row r="778" spans="1:8" ht="15.7" customHeight="1" x14ac:dyDescent="0.3">
      <c r="A778" s="2"/>
      <c r="B778" s="2"/>
      <c r="C778" s="2"/>
      <c r="D778" s="2"/>
      <c r="E778" s="2"/>
      <c r="F778" s="2"/>
      <c r="G778" s="2"/>
      <c r="H778" s="2"/>
    </row>
    <row r="779" spans="1:8" ht="15.7" customHeight="1" x14ac:dyDescent="0.3">
      <c r="A779" s="2"/>
      <c r="B779" s="2"/>
      <c r="C779" s="2"/>
      <c r="D779" s="2"/>
      <c r="E779" s="2"/>
      <c r="F779" s="2"/>
      <c r="G779" s="2"/>
      <c r="H779" s="2"/>
    </row>
    <row r="780" spans="1:8" ht="15.7" customHeight="1" x14ac:dyDescent="0.3">
      <c r="A780" s="2"/>
      <c r="B780" s="2"/>
      <c r="C780" s="2"/>
      <c r="D780" s="2"/>
      <c r="E780" s="2"/>
      <c r="F780" s="2"/>
      <c r="G780" s="2"/>
      <c r="H780" s="2"/>
    </row>
    <row r="781" spans="1:8" ht="15.7" customHeight="1" x14ac:dyDescent="0.3">
      <c r="A781" s="2"/>
      <c r="B781" s="2"/>
      <c r="C781" s="2"/>
      <c r="D781" s="2"/>
      <c r="E781" s="2"/>
      <c r="F781" s="2"/>
      <c r="G781" s="2"/>
      <c r="H781" s="2"/>
    </row>
    <row r="782" spans="1:8" ht="15.7" customHeight="1" x14ac:dyDescent="0.3">
      <c r="A782" s="2"/>
      <c r="B782" s="2"/>
      <c r="C782" s="2"/>
      <c r="D782" s="2"/>
      <c r="E782" s="2"/>
      <c r="F782" s="2"/>
      <c r="G782" s="2"/>
      <c r="H782" s="2"/>
    </row>
    <row r="783" spans="1:8" ht="15.7" customHeight="1" x14ac:dyDescent="0.3">
      <c r="A783" s="2"/>
      <c r="B783" s="2"/>
      <c r="C783" s="2"/>
      <c r="D783" s="2"/>
      <c r="E783" s="2"/>
      <c r="F783" s="2"/>
      <c r="G783" s="2"/>
      <c r="H783" s="2"/>
    </row>
    <row r="784" spans="1:8" ht="15.7" customHeight="1" x14ac:dyDescent="0.3">
      <c r="A784" s="2"/>
      <c r="B784" s="2"/>
      <c r="C784" s="2"/>
      <c r="D784" s="2"/>
      <c r="E784" s="2"/>
      <c r="F784" s="2"/>
      <c r="G784" s="2"/>
      <c r="H784" s="2"/>
    </row>
    <row r="785" spans="1:8" ht="15.7" customHeight="1" x14ac:dyDescent="0.3">
      <c r="A785" s="2"/>
      <c r="B785" s="2"/>
      <c r="C785" s="2"/>
      <c r="D785" s="2"/>
      <c r="E785" s="2"/>
      <c r="F785" s="2"/>
      <c r="G785" s="2"/>
      <c r="H785" s="2"/>
    </row>
    <row r="786" spans="1:8" ht="15.7" customHeight="1" x14ac:dyDescent="0.3">
      <c r="A786" s="2"/>
      <c r="B786" s="2"/>
      <c r="C786" s="2"/>
      <c r="D786" s="2"/>
      <c r="E786" s="2"/>
      <c r="F786" s="2"/>
      <c r="G786" s="2"/>
      <c r="H786" s="2"/>
    </row>
    <row r="787" spans="1:8" ht="15.7" customHeight="1" x14ac:dyDescent="0.3">
      <c r="A787" s="2"/>
      <c r="B787" s="2"/>
      <c r="C787" s="2"/>
      <c r="D787" s="2"/>
      <c r="E787" s="2"/>
      <c r="F787" s="2"/>
      <c r="G787" s="2"/>
      <c r="H787" s="2"/>
    </row>
    <row r="788" spans="1:8" ht="15.7" customHeight="1" x14ac:dyDescent="0.3">
      <c r="A788" s="2"/>
      <c r="B788" s="2"/>
      <c r="C788" s="2"/>
      <c r="D788" s="2"/>
      <c r="E788" s="2"/>
      <c r="F788" s="2"/>
      <c r="G788" s="2"/>
      <c r="H788" s="2"/>
    </row>
    <row r="789" spans="1:8" ht="15.7" customHeight="1" x14ac:dyDescent="0.3">
      <c r="A789" s="2"/>
      <c r="B789" s="2"/>
      <c r="C789" s="2"/>
      <c r="D789" s="2"/>
      <c r="E789" s="2"/>
      <c r="F789" s="2"/>
      <c r="G789" s="2"/>
      <c r="H789" s="2"/>
    </row>
    <row r="790" spans="1:8" ht="15.7" customHeight="1" x14ac:dyDescent="0.3">
      <c r="A790" s="2"/>
      <c r="B790" s="2"/>
      <c r="C790" s="2"/>
      <c r="D790" s="2"/>
      <c r="E790" s="2"/>
      <c r="F790" s="2"/>
      <c r="G790" s="2"/>
      <c r="H790" s="2"/>
    </row>
    <row r="791" spans="1:8" ht="15.7" customHeight="1" x14ac:dyDescent="0.3">
      <c r="A791" s="2"/>
      <c r="B791" s="2"/>
      <c r="C791" s="2"/>
      <c r="D791" s="2"/>
      <c r="E791" s="2"/>
      <c r="F791" s="2"/>
      <c r="G791" s="2"/>
      <c r="H791" s="2"/>
    </row>
    <row r="792" spans="1:8" ht="15.7" customHeight="1" x14ac:dyDescent="0.3">
      <c r="A792" s="2"/>
      <c r="B792" s="2"/>
      <c r="C792" s="2"/>
      <c r="D792" s="2"/>
      <c r="E792" s="2"/>
      <c r="F792" s="2"/>
      <c r="G792" s="2"/>
      <c r="H792" s="2"/>
    </row>
    <row r="793" spans="1:8" ht="15.7" customHeight="1" x14ac:dyDescent="0.3">
      <c r="A793" s="2"/>
      <c r="B793" s="2"/>
      <c r="C793" s="2"/>
      <c r="D793" s="2"/>
      <c r="E793" s="2"/>
      <c r="F793" s="2"/>
      <c r="G793" s="2"/>
      <c r="H793" s="2"/>
    </row>
    <row r="794" spans="1:8" ht="15.7" customHeight="1" x14ac:dyDescent="0.3">
      <c r="A794" s="2"/>
      <c r="B794" s="2"/>
      <c r="C794" s="2"/>
      <c r="D794" s="2"/>
      <c r="E794" s="2"/>
      <c r="F794" s="2"/>
      <c r="G794" s="2"/>
      <c r="H794" s="2"/>
    </row>
    <row r="795" spans="1:8" ht="15.7" customHeight="1" x14ac:dyDescent="0.3">
      <c r="A795" s="2"/>
      <c r="B795" s="2"/>
      <c r="C795" s="2"/>
      <c r="D795" s="2"/>
      <c r="E795" s="2"/>
      <c r="F795" s="2"/>
      <c r="G795" s="2"/>
      <c r="H795" s="2"/>
    </row>
    <row r="796" spans="1:8" ht="15.7" customHeight="1" x14ac:dyDescent="0.3">
      <c r="A796" s="2"/>
      <c r="B796" s="2"/>
      <c r="C796" s="2"/>
      <c r="D796" s="2"/>
      <c r="E796" s="2"/>
      <c r="F796" s="2"/>
      <c r="G796" s="2"/>
      <c r="H796" s="2"/>
    </row>
    <row r="797" spans="1:8" ht="15.7" customHeight="1" x14ac:dyDescent="0.3">
      <c r="A797" s="2"/>
      <c r="B797" s="2"/>
      <c r="C797" s="2"/>
      <c r="D797" s="2"/>
      <c r="E797" s="2"/>
      <c r="F797" s="2"/>
      <c r="G797" s="2"/>
      <c r="H797" s="2"/>
    </row>
    <row r="798" spans="1:8" ht="15.7" customHeight="1" x14ac:dyDescent="0.3">
      <c r="A798" s="2"/>
      <c r="B798" s="2"/>
      <c r="C798" s="2"/>
      <c r="D798" s="2"/>
      <c r="E798" s="2"/>
      <c r="F798" s="2"/>
      <c r="G798" s="2"/>
      <c r="H798" s="2"/>
    </row>
    <row r="799" spans="1:8" ht="15.7" customHeight="1" x14ac:dyDescent="0.3">
      <c r="A799" s="2"/>
      <c r="B799" s="2"/>
      <c r="C799" s="2"/>
      <c r="D799" s="2"/>
      <c r="E799" s="2"/>
      <c r="F799" s="2"/>
      <c r="G799" s="2"/>
      <c r="H799" s="2"/>
    </row>
    <row r="800" spans="1:8" ht="15.7" customHeight="1" x14ac:dyDescent="0.3">
      <c r="A800" s="2"/>
      <c r="B800" s="2"/>
      <c r="C800" s="2"/>
      <c r="D800" s="2"/>
      <c r="E800" s="2"/>
      <c r="F800" s="2"/>
      <c r="G800" s="2"/>
      <c r="H800" s="2"/>
    </row>
    <row r="801" spans="1:8" ht="15.7" customHeight="1" x14ac:dyDescent="0.3">
      <c r="A801" s="2"/>
      <c r="B801" s="2"/>
      <c r="C801" s="2"/>
      <c r="D801" s="2"/>
      <c r="E801" s="2"/>
      <c r="F801" s="2"/>
      <c r="G801" s="2"/>
      <c r="H801" s="2"/>
    </row>
    <row r="802" spans="1:8" ht="15.7" customHeight="1" x14ac:dyDescent="0.3">
      <c r="A802" s="2"/>
      <c r="B802" s="2"/>
      <c r="C802" s="2"/>
      <c r="D802" s="2"/>
      <c r="E802" s="2"/>
      <c r="F802" s="2"/>
      <c r="G802" s="2"/>
      <c r="H802" s="2"/>
    </row>
    <row r="803" spans="1:8" ht="15.7" customHeight="1" x14ac:dyDescent="0.3">
      <c r="A803" s="2"/>
      <c r="B803" s="2"/>
      <c r="C803" s="2"/>
      <c r="D803" s="2"/>
      <c r="E803" s="2"/>
      <c r="F803" s="2"/>
      <c r="G803" s="2"/>
      <c r="H803" s="2"/>
    </row>
    <row r="804" spans="1:8" ht="15.7" customHeight="1" x14ac:dyDescent="0.3">
      <c r="A804" s="2"/>
      <c r="B804" s="2"/>
      <c r="C804" s="2"/>
      <c r="D804" s="2"/>
      <c r="E804" s="2"/>
      <c r="F804" s="2"/>
      <c r="G804" s="2"/>
      <c r="H804" s="2"/>
    </row>
    <row r="805" spans="1:8" ht="15.7" customHeight="1" x14ac:dyDescent="0.3">
      <c r="A805" s="2"/>
      <c r="B805" s="2"/>
      <c r="C805" s="2"/>
      <c r="D805" s="2"/>
      <c r="E805" s="2"/>
      <c r="F805" s="2"/>
      <c r="G805" s="2"/>
      <c r="H805" s="2"/>
    </row>
    <row r="806" spans="1:8" ht="15.7" customHeight="1" x14ac:dyDescent="0.3">
      <c r="A806" s="2"/>
      <c r="B806" s="2"/>
      <c r="C806" s="2"/>
      <c r="D806" s="2"/>
      <c r="E806" s="2"/>
      <c r="F806" s="2"/>
      <c r="G806" s="2"/>
      <c r="H806" s="2"/>
    </row>
    <row r="807" spans="1:8" ht="15.7" customHeight="1" x14ac:dyDescent="0.3">
      <c r="A807" s="2"/>
      <c r="B807" s="2"/>
      <c r="C807" s="2"/>
      <c r="D807" s="2"/>
      <c r="E807" s="2"/>
      <c r="F807" s="2"/>
      <c r="G807" s="2"/>
      <c r="H807" s="2"/>
    </row>
    <row r="808" spans="1:8" ht="15.7" customHeight="1" x14ac:dyDescent="0.3">
      <c r="A808" s="2"/>
      <c r="B808" s="2"/>
      <c r="C808" s="2"/>
      <c r="D808" s="2"/>
      <c r="E808" s="2"/>
      <c r="F808" s="2"/>
      <c r="G808" s="2"/>
      <c r="H808" s="2"/>
    </row>
    <row r="809" spans="1:8" ht="15.7" customHeight="1" x14ac:dyDescent="0.3">
      <c r="A809" s="2"/>
      <c r="B809" s="2"/>
      <c r="C809" s="2"/>
      <c r="D809" s="2"/>
      <c r="E809" s="2"/>
      <c r="F809" s="2"/>
      <c r="G809" s="2"/>
      <c r="H809" s="2"/>
    </row>
    <row r="810" spans="1:8" ht="15.7" customHeight="1" x14ac:dyDescent="0.3">
      <c r="A810" s="2"/>
      <c r="B810" s="2"/>
      <c r="C810" s="2"/>
      <c r="D810" s="2"/>
      <c r="E810" s="2"/>
      <c r="F810" s="2"/>
      <c r="G810" s="2"/>
      <c r="H810" s="2"/>
    </row>
    <row r="811" spans="1:8" ht="15.7" customHeight="1" x14ac:dyDescent="0.3">
      <c r="A811" s="2"/>
      <c r="B811" s="2"/>
      <c r="C811" s="2"/>
      <c r="D811" s="2"/>
      <c r="E811" s="2"/>
      <c r="F811" s="2"/>
      <c r="G811" s="2"/>
      <c r="H811" s="2"/>
    </row>
    <row r="812" spans="1:8" ht="15.7" customHeight="1" x14ac:dyDescent="0.3">
      <c r="A812" s="2"/>
      <c r="B812" s="2"/>
      <c r="C812" s="2"/>
      <c r="D812" s="2"/>
      <c r="E812" s="2"/>
      <c r="F812" s="2"/>
      <c r="G812" s="2"/>
      <c r="H812" s="2"/>
    </row>
    <row r="813" spans="1:8" ht="15.7" customHeight="1" x14ac:dyDescent="0.3">
      <c r="A813" s="2"/>
      <c r="B813" s="2"/>
      <c r="C813" s="2"/>
      <c r="D813" s="2"/>
      <c r="E813" s="2"/>
      <c r="F813" s="2"/>
      <c r="G813" s="2"/>
      <c r="H813" s="2"/>
    </row>
    <row r="814" spans="1:8" ht="15.7" customHeight="1" x14ac:dyDescent="0.3">
      <c r="A814" s="2"/>
      <c r="B814" s="2"/>
      <c r="C814" s="2"/>
      <c r="D814" s="2"/>
      <c r="E814" s="2"/>
      <c r="F814" s="2"/>
      <c r="G814" s="2"/>
      <c r="H814" s="2"/>
    </row>
    <row r="815" spans="1:8" ht="15.7" customHeight="1" x14ac:dyDescent="0.3">
      <c r="A815" s="2"/>
      <c r="B815" s="2"/>
      <c r="C815" s="2"/>
      <c r="D815" s="2"/>
      <c r="E815" s="2"/>
      <c r="F815" s="2"/>
      <c r="G815" s="2"/>
      <c r="H815" s="2"/>
    </row>
    <row r="816" spans="1:8" ht="15.7" customHeight="1" x14ac:dyDescent="0.3">
      <c r="A816" s="2"/>
      <c r="B816" s="2"/>
      <c r="C816" s="2"/>
      <c r="D816" s="2"/>
      <c r="E816" s="2"/>
      <c r="F816" s="2"/>
      <c r="G816" s="2"/>
      <c r="H816" s="2"/>
    </row>
    <row r="817" spans="1:8" ht="15.7" customHeight="1" x14ac:dyDescent="0.3">
      <c r="A817" s="2"/>
      <c r="B817" s="2"/>
      <c r="C817" s="2"/>
      <c r="D817" s="2"/>
      <c r="E817" s="2"/>
      <c r="F817" s="2"/>
      <c r="G817" s="2"/>
      <c r="H817" s="2"/>
    </row>
    <row r="818" spans="1:8" ht="15.7" customHeight="1" x14ac:dyDescent="0.3">
      <c r="A818" s="2"/>
      <c r="B818" s="2"/>
      <c r="C818" s="2"/>
      <c r="D818" s="2"/>
      <c r="E818" s="2"/>
      <c r="F818" s="2"/>
      <c r="G818" s="2"/>
      <c r="H818" s="2"/>
    </row>
    <row r="819" spans="1:8" ht="15.7" customHeight="1" x14ac:dyDescent="0.3">
      <c r="A819" s="2"/>
      <c r="B819" s="2"/>
      <c r="C819" s="2"/>
      <c r="D819" s="2"/>
      <c r="E819" s="2"/>
      <c r="F819" s="2"/>
      <c r="G819" s="2"/>
      <c r="H819" s="2"/>
    </row>
    <row r="820" spans="1:8" ht="15.7" customHeight="1" x14ac:dyDescent="0.3">
      <c r="A820" s="2"/>
      <c r="B820" s="2"/>
      <c r="C820" s="2"/>
      <c r="D820" s="2"/>
      <c r="E820" s="2"/>
      <c r="F820" s="2"/>
      <c r="G820" s="2"/>
      <c r="H820" s="2"/>
    </row>
    <row r="821" spans="1:8" ht="15.7" customHeight="1" x14ac:dyDescent="0.3">
      <c r="A821" s="2"/>
      <c r="B821" s="2"/>
      <c r="C821" s="2"/>
      <c r="D821" s="2"/>
      <c r="E821" s="2"/>
      <c r="F821" s="2"/>
      <c r="G821" s="2"/>
      <c r="H821" s="2"/>
    </row>
    <row r="822" spans="1:8" ht="15.7" customHeight="1" x14ac:dyDescent="0.3">
      <c r="A822" s="2"/>
      <c r="B822" s="2"/>
      <c r="C822" s="2"/>
      <c r="D822" s="2"/>
      <c r="E822" s="2"/>
      <c r="F822" s="2"/>
      <c r="G822" s="2"/>
      <c r="H822" s="2"/>
    </row>
    <row r="823" spans="1:8" ht="15.7" customHeight="1" x14ac:dyDescent="0.3">
      <c r="A823" s="2"/>
      <c r="B823" s="2"/>
      <c r="C823" s="2"/>
      <c r="D823" s="2"/>
      <c r="E823" s="2"/>
      <c r="F823" s="2"/>
      <c r="G823" s="2"/>
      <c r="H823" s="2"/>
    </row>
    <row r="824" spans="1:8" ht="15.7" customHeight="1" x14ac:dyDescent="0.3">
      <c r="A824" s="2"/>
      <c r="B824" s="2"/>
      <c r="C824" s="2"/>
      <c r="D824" s="2"/>
      <c r="E824" s="2"/>
      <c r="F824" s="2"/>
      <c r="G824" s="2"/>
      <c r="H824" s="2"/>
    </row>
    <row r="825" spans="1:8" ht="15.7" customHeight="1" x14ac:dyDescent="0.3">
      <c r="A825" s="2"/>
      <c r="B825" s="2"/>
      <c r="C825" s="2"/>
      <c r="D825" s="2"/>
      <c r="E825" s="2"/>
      <c r="F825" s="2"/>
      <c r="G825" s="2"/>
      <c r="H825" s="2"/>
    </row>
    <row r="826" spans="1:8" ht="15.7" customHeight="1" x14ac:dyDescent="0.3">
      <c r="A826" s="2"/>
      <c r="B826" s="2"/>
      <c r="C826" s="2"/>
      <c r="D826" s="2"/>
      <c r="E826" s="2"/>
      <c r="F826" s="2"/>
      <c r="G826" s="2"/>
      <c r="H826" s="2"/>
    </row>
    <row r="827" spans="1:8" ht="15.7" customHeight="1" x14ac:dyDescent="0.3">
      <c r="A827" s="2"/>
      <c r="B827" s="2"/>
      <c r="C827" s="2"/>
      <c r="D827" s="2"/>
      <c r="E827" s="2"/>
      <c r="F827" s="2"/>
      <c r="G827" s="2"/>
      <c r="H827" s="2"/>
    </row>
    <row r="828" spans="1:8" ht="15.7" customHeight="1" x14ac:dyDescent="0.3">
      <c r="A828" s="2"/>
      <c r="B828" s="2"/>
      <c r="C828" s="2"/>
      <c r="D828" s="2"/>
      <c r="E828" s="2"/>
      <c r="F828" s="2"/>
      <c r="G828" s="2"/>
      <c r="H828" s="2"/>
    </row>
    <row r="829" spans="1:8" ht="15.7" customHeight="1" x14ac:dyDescent="0.3">
      <c r="A829" s="2"/>
      <c r="B829" s="2"/>
      <c r="C829" s="2"/>
      <c r="D829" s="2"/>
      <c r="E829" s="2"/>
      <c r="F829" s="2"/>
      <c r="G829" s="2"/>
      <c r="H829" s="2"/>
    </row>
    <row r="830" spans="1:8" ht="15.7" customHeight="1" x14ac:dyDescent="0.3">
      <c r="A830" s="2"/>
      <c r="B830" s="2"/>
      <c r="C830" s="2"/>
      <c r="D830" s="2"/>
      <c r="E830" s="2"/>
      <c r="F830" s="2"/>
      <c r="G830" s="2"/>
      <c r="H830" s="2"/>
    </row>
    <row r="831" spans="1:8" ht="15.7" customHeight="1" x14ac:dyDescent="0.3">
      <c r="A831" s="2"/>
      <c r="B831" s="2"/>
      <c r="C831" s="2"/>
      <c r="D831" s="2"/>
      <c r="E831" s="2"/>
      <c r="F831" s="2"/>
      <c r="G831" s="2"/>
      <c r="H831" s="2"/>
    </row>
    <row r="832" spans="1:8" ht="15.7" customHeight="1" x14ac:dyDescent="0.3">
      <c r="A832" s="2"/>
      <c r="B832" s="2"/>
      <c r="C832" s="2"/>
      <c r="D832" s="2"/>
      <c r="E832" s="2"/>
      <c r="F832" s="2"/>
      <c r="G832" s="2"/>
      <c r="H832" s="2"/>
    </row>
    <row r="833" spans="1:8" ht="15.7" customHeight="1" x14ac:dyDescent="0.3">
      <c r="A833" s="2"/>
      <c r="B833" s="2"/>
      <c r="C833" s="2"/>
      <c r="D833" s="2"/>
      <c r="E833" s="2"/>
      <c r="F833" s="2"/>
      <c r="G833" s="2"/>
      <c r="H833" s="2"/>
    </row>
    <row r="834" spans="1:8" ht="15.7" customHeight="1" x14ac:dyDescent="0.3">
      <c r="A834" s="2"/>
      <c r="B834" s="2"/>
      <c r="C834" s="2"/>
      <c r="D834" s="2"/>
      <c r="E834" s="2"/>
      <c r="F834" s="2"/>
      <c r="G834" s="2"/>
      <c r="H834" s="2"/>
    </row>
    <row r="835" spans="1:8" ht="15.7" customHeight="1" x14ac:dyDescent="0.3">
      <c r="A835" s="2"/>
      <c r="B835" s="2"/>
      <c r="C835" s="2"/>
      <c r="D835" s="2"/>
      <c r="E835" s="2"/>
      <c r="F835" s="2"/>
      <c r="G835" s="2"/>
      <c r="H835" s="2"/>
    </row>
    <row r="836" spans="1:8" ht="15.7" customHeight="1" x14ac:dyDescent="0.3">
      <c r="A836" s="2"/>
      <c r="B836" s="2"/>
      <c r="C836" s="2"/>
      <c r="D836" s="2"/>
      <c r="E836" s="2"/>
      <c r="F836" s="2"/>
      <c r="G836" s="2"/>
      <c r="H836" s="2"/>
    </row>
    <row r="837" spans="1:8" ht="15.7" customHeight="1" x14ac:dyDescent="0.3">
      <c r="A837" s="2"/>
      <c r="B837" s="2"/>
      <c r="C837" s="2"/>
      <c r="D837" s="2"/>
      <c r="E837" s="2"/>
      <c r="F837" s="2"/>
      <c r="G837" s="2"/>
      <c r="H837" s="2"/>
    </row>
    <row r="838" spans="1:8" ht="15.7" customHeight="1" x14ac:dyDescent="0.3">
      <c r="A838" s="2"/>
      <c r="B838" s="2"/>
      <c r="C838" s="2"/>
      <c r="D838" s="2"/>
      <c r="E838" s="2"/>
      <c r="F838" s="2"/>
      <c r="G838" s="2"/>
      <c r="H838" s="2"/>
    </row>
    <row r="839" spans="1:8" ht="15.7" customHeight="1" x14ac:dyDescent="0.3">
      <c r="A839" s="2"/>
      <c r="B839" s="2"/>
      <c r="C839" s="2"/>
      <c r="D839" s="2"/>
      <c r="E839" s="2"/>
      <c r="F839" s="2"/>
      <c r="G839" s="2"/>
      <c r="H839" s="2"/>
    </row>
    <row r="840" spans="1:8" ht="15.7" customHeight="1" x14ac:dyDescent="0.3">
      <c r="A840" s="2"/>
      <c r="B840" s="2"/>
      <c r="C840" s="2"/>
      <c r="D840" s="2"/>
      <c r="E840" s="2"/>
      <c r="F840" s="2"/>
      <c r="G840" s="2"/>
      <c r="H840" s="2"/>
    </row>
    <row r="841" spans="1:8" ht="15.7" customHeight="1" x14ac:dyDescent="0.3">
      <c r="A841" s="2"/>
      <c r="B841" s="2"/>
      <c r="C841" s="2"/>
      <c r="D841" s="2"/>
      <c r="E841" s="2"/>
      <c r="F841" s="2"/>
      <c r="G841" s="2"/>
      <c r="H841" s="2"/>
    </row>
    <row r="842" spans="1:8" ht="15.7" customHeight="1" x14ac:dyDescent="0.3">
      <c r="A842" s="2"/>
      <c r="B842" s="2"/>
      <c r="C842" s="2"/>
      <c r="D842" s="2"/>
      <c r="E842" s="2"/>
      <c r="F842" s="2"/>
      <c r="G842" s="2"/>
      <c r="H842" s="2"/>
    </row>
    <row r="843" spans="1:8" ht="15.7" customHeight="1" x14ac:dyDescent="0.3">
      <c r="A843" s="2"/>
      <c r="B843" s="2"/>
      <c r="C843" s="2"/>
      <c r="D843" s="2"/>
      <c r="E843" s="2"/>
      <c r="F843" s="2"/>
      <c r="G843" s="2"/>
      <c r="H843" s="2"/>
    </row>
    <row r="844" spans="1:8" ht="15.7" customHeight="1" x14ac:dyDescent="0.3">
      <c r="A844" s="2"/>
      <c r="B844" s="2"/>
      <c r="C844" s="2"/>
      <c r="D844" s="2"/>
      <c r="E844" s="2"/>
      <c r="F844" s="2"/>
      <c r="G844" s="2"/>
      <c r="H844" s="2"/>
    </row>
    <row r="845" spans="1:8" ht="15.7" customHeight="1" x14ac:dyDescent="0.3">
      <c r="A845" s="2"/>
      <c r="B845" s="2"/>
      <c r="C845" s="2"/>
      <c r="D845" s="2"/>
      <c r="E845" s="2"/>
      <c r="F845" s="2"/>
      <c r="G845" s="2"/>
      <c r="H845" s="2"/>
    </row>
    <row r="846" spans="1:8" ht="15.7" customHeight="1" x14ac:dyDescent="0.3">
      <c r="A846" s="2"/>
      <c r="B846" s="2"/>
      <c r="C846" s="2"/>
      <c r="D846" s="2"/>
      <c r="E846" s="2"/>
      <c r="F846" s="2"/>
      <c r="G846" s="2"/>
      <c r="H846" s="2"/>
    </row>
    <row r="847" spans="1:8" ht="15.7" customHeight="1" x14ac:dyDescent="0.3">
      <c r="A847" s="2"/>
      <c r="B847" s="2"/>
      <c r="C847" s="2"/>
      <c r="D847" s="2"/>
      <c r="E847" s="2"/>
      <c r="F847" s="2"/>
      <c r="G847" s="2"/>
      <c r="H847" s="2"/>
    </row>
    <row r="848" spans="1:8" ht="15.7" customHeight="1" x14ac:dyDescent="0.3">
      <c r="A848" s="2"/>
      <c r="B848" s="2"/>
      <c r="C848" s="2"/>
      <c r="D848" s="2"/>
      <c r="E848" s="2"/>
      <c r="F848" s="2"/>
      <c r="G848" s="2"/>
      <c r="H848" s="2"/>
    </row>
    <row r="849" spans="1:8" ht="15.7" customHeight="1" x14ac:dyDescent="0.3">
      <c r="A849" s="2"/>
      <c r="B849" s="2"/>
      <c r="C849" s="2"/>
      <c r="D849" s="2"/>
      <c r="E849" s="2"/>
      <c r="F849" s="2"/>
      <c r="G849" s="2"/>
      <c r="H849" s="2"/>
    </row>
    <row r="850" spans="1:8" ht="15.7" customHeight="1" x14ac:dyDescent="0.3">
      <c r="A850" s="2"/>
      <c r="B850" s="2"/>
      <c r="C850" s="2"/>
      <c r="D850" s="2"/>
      <c r="E850" s="2"/>
      <c r="F850" s="2"/>
      <c r="G850" s="2"/>
      <c r="H850" s="2"/>
    </row>
    <row r="851" spans="1:8" ht="15.7" customHeight="1" x14ac:dyDescent="0.3">
      <c r="A851" s="2"/>
      <c r="B851" s="2"/>
      <c r="C851" s="2"/>
      <c r="D851" s="2"/>
      <c r="E851" s="2"/>
      <c r="F851" s="2"/>
      <c r="G851" s="2"/>
      <c r="H851" s="2"/>
    </row>
    <row r="852" spans="1:8" ht="15.7" customHeight="1" x14ac:dyDescent="0.3">
      <c r="A852" s="2"/>
      <c r="B852" s="2"/>
      <c r="C852" s="2"/>
      <c r="D852" s="2"/>
      <c r="E852" s="2"/>
      <c r="F852" s="2"/>
      <c r="G852" s="2"/>
      <c r="H852" s="2"/>
    </row>
    <row r="853" spans="1:8" ht="15.7" customHeight="1" x14ac:dyDescent="0.3">
      <c r="A853" s="2"/>
      <c r="B853" s="2"/>
      <c r="C853" s="2"/>
      <c r="D853" s="2"/>
      <c r="E853" s="2"/>
      <c r="F853" s="2"/>
      <c r="G853" s="2"/>
      <c r="H853" s="2"/>
    </row>
    <row r="854" spans="1:8" ht="15.7" customHeight="1" x14ac:dyDescent="0.3">
      <c r="A854" s="2"/>
      <c r="B854" s="2"/>
      <c r="C854" s="2"/>
      <c r="D854" s="2"/>
      <c r="E854" s="2"/>
      <c r="F854" s="2"/>
      <c r="G854" s="2"/>
      <c r="H854" s="2"/>
    </row>
    <row r="855" spans="1:8" ht="15.7" customHeight="1" x14ac:dyDescent="0.3">
      <c r="A855" s="2"/>
      <c r="B855" s="2"/>
      <c r="C855" s="2"/>
      <c r="D855" s="2"/>
      <c r="E855" s="2"/>
      <c r="F855" s="2"/>
      <c r="G855" s="2"/>
      <c r="H855" s="2"/>
    </row>
    <row r="856" spans="1:8" ht="15.7" customHeight="1" x14ac:dyDescent="0.3">
      <c r="A856" s="2"/>
      <c r="B856" s="2"/>
      <c r="C856" s="2"/>
      <c r="D856" s="2"/>
      <c r="E856" s="2"/>
      <c r="F856" s="2"/>
      <c r="G856" s="2"/>
      <c r="H856" s="2"/>
    </row>
    <row r="857" spans="1:8" ht="15.7" customHeight="1" x14ac:dyDescent="0.3">
      <c r="A857" s="2"/>
      <c r="B857" s="2"/>
      <c r="C857" s="2"/>
      <c r="D857" s="2"/>
      <c r="E857" s="2"/>
      <c r="F857" s="2"/>
      <c r="G857" s="2"/>
      <c r="H857" s="2"/>
    </row>
    <row r="858" spans="1:8" ht="15.7" customHeight="1" x14ac:dyDescent="0.3">
      <c r="A858" s="2"/>
      <c r="B858" s="2"/>
      <c r="C858" s="2"/>
      <c r="D858" s="2"/>
      <c r="E858" s="2"/>
      <c r="F858" s="2"/>
      <c r="G858" s="2"/>
      <c r="H858" s="2"/>
    </row>
    <row r="859" spans="1:8" ht="15.7" customHeight="1" x14ac:dyDescent="0.3">
      <c r="A859" s="2"/>
      <c r="B859" s="2"/>
      <c r="C859" s="2"/>
      <c r="D859" s="2"/>
      <c r="E859" s="2"/>
      <c r="F859" s="2"/>
      <c r="G859" s="2"/>
      <c r="H859" s="2"/>
    </row>
    <row r="860" spans="1:8" ht="15.7" customHeight="1" x14ac:dyDescent="0.3">
      <c r="A860" s="2"/>
      <c r="B860" s="2"/>
      <c r="C860" s="2"/>
      <c r="D860" s="2"/>
      <c r="E860" s="2"/>
      <c r="F860" s="2"/>
      <c r="G860" s="2"/>
      <c r="H860" s="2"/>
    </row>
    <row r="861" spans="1:8" ht="15.7" customHeight="1" x14ac:dyDescent="0.3">
      <c r="A861" s="2"/>
      <c r="B861" s="2"/>
      <c r="C861" s="2"/>
      <c r="D861" s="2"/>
      <c r="E861" s="2"/>
      <c r="F861" s="2"/>
      <c r="G861" s="2"/>
      <c r="H861" s="2"/>
    </row>
    <row r="862" spans="1:8" ht="15.7" customHeight="1" x14ac:dyDescent="0.3">
      <c r="A862" s="2"/>
      <c r="B862" s="2"/>
      <c r="C862" s="2"/>
      <c r="D862" s="2"/>
      <c r="E862" s="2"/>
      <c r="F862" s="2"/>
      <c r="G862" s="2"/>
      <c r="H862" s="2"/>
    </row>
    <row r="863" spans="1:8" ht="15.7" customHeight="1" x14ac:dyDescent="0.3">
      <c r="A863" s="2"/>
      <c r="B863" s="2"/>
      <c r="C863" s="2"/>
      <c r="D863" s="2"/>
      <c r="E863" s="2"/>
      <c r="F863" s="2"/>
      <c r="G863" s="2"/>
      <c r="H863" s="2"/>
    </row>
    <row r="864" spans="1:8" ht="15.7" customHeight="1" x14ac:dyDescent="0.3">
      <c r="A864" s="2"/>
      <c r="B864" s="2"/>
      <c r="C864" s="2"/>
      <c r="D864" s="2"/>
      <c r="E864" s="2"/>
      <c r="F864" s="2"/>
      <c r="G864" s="2"/>
      <c r="H864" s="2"/>
    </row>
    <row r="865" spans="1:8" ht="15.7" customHeight="1" x14ac:dyDescent="0.3">
      <c r="A865" s="2"/>
      <c r="B865" s="2"/>
      <c r="C865" s="2"/>
      <c r="D865" s="2"/>
      <c r="E865" s="2"/>
      <c r="F865" s="2"/>
      <c r="G865" s="2"/>
      <c r="H865" s="2"/>
    </row>
    <row r="866" spans="1:8" ht="15.7" customHeight="1" x14ac:dyDescent="0.3">
      <c r="A866" s="2"/>
      <c r="B866" s="2"/>
      <c r="C866" s="2"/>
      <c r="D866" s="2"/>
      <c r="E866" s="2"/>
      <c r="F866" s="2"/>
      <c r="G866" s="2"/>
      <c r="H866" s="2"/>
    </row>
    <row r="867" spans="1:8" ht="15.7" customHeight="1" x14ac:dyDescent="0.3">
      <c r="A867" s="2"/>
      <c r="B867" s="2"/>
      <c r="C867" s="2"/>
      <c r="D867" s="2"/>
      <c r="E867" s="2"/>
      <c r="F867" s="2"/>
      <c r="G867" s="2"/>
      <c r="H867" s="2"/>
    </row>
    <row r="868" spans="1:8" ht="15.7" customHeight="1" x14ac:dyDescent="0.3">
      <c r="A868" s="2"/>
      <c r="B868" s="2"/>
      <c r="C868" s="2"/>
      <c r="D868" s="2"/>
      <c r="E868" s="2"/>
      <c r="F868" s="2"/>
      <c r="G868" s="2"/>
      <c r="H868" s="2"/>
    </row>
    <row r="869" spans="1:8" ht="15.7" customHeight="1" x14ac:dyDescent="0.3">
      <c r="A869" s="2"/>
      <c r="B869" s="2"/>
      <c r="C869" s="2"/>
      <c r="D869" s="2"/>
      <c r="E869" s="2"/>
      <c r="F869" s="2"/>
      <c r="G869" s="2"/>
      <c r="H869" s="2"/>
    </row>
    <row r="870" spans="1:8" ht="15.7" customHeight="1" x14ac:dyDescent="0.3">
      <c r="A870" s="2"/>
      <c r="B870" s="2"/>
      <c r="C870" s="2"/>
      <c r="D870" s="2"/>
      <c r="E870" s="2"/>
      <c r="F870" s="2"/>
      <c r="G870" s="2"/>
      <c r="H870" s="2"/>
    </row>
    <row r="871" spans="1:8" ht="15.7" customHeight="1" x14ac:dyDescent="0.3">
      <c r="A871" s="2"/>
      <c r="B871" s="2"/>
      <c r="C871" s="2"/>
      <c r="D871" s="2"/>
      <c r="E871" s="2"/>
      <c r="F871" s="2"/>
      <c r="G871" s="2"/>
      <c r="H871" s="2"/>
    </row>
    <row r="872" spans="1:8" ht="15.7" customHeight="1" x14ac:dyDescent="0.3">
      <c r="A872" s="2"/>
      <c r="B872" s="2"/>
      <c r="C872" s="2"/>
      <c r="D872" s="2"/>
      <c r="E872" s="2"/>
      <c r="F872" s="2"/>
      <c r="G872" s="2"/>
      <c r="H872" s="2"/>
    </row>
    <row r="873" spans="1:8" ht="15.7" customHeight="1" x14ac:dyDescent="0.3">
      <c r="A873" s="2"/>
      <c r="B873" s="2"/>
      <c r="C873" s="2"/>
      <c r="D873" s="2"/>
      <c r="E873" s="2"/>
      <c r="F873" s="2"/>
      <c r="G873" s="2"/>
      <c r="H873" s="2"/>
    </row>
    <row r="874" spans="1:8" ht="15.7" customHeight="1" x14ac:dyDescent="0.3">
      <c r="A874" s="2"/>
      <c r="B874" s="2"/>
      <c r="C874" s="2"/>
      <c r="D874" s="2"/>
      <c r="E874" s="2"/>
      <c r="F874" s="2"/>
      <c r="G874" s="2"/>
      <c r="H874" s="2"/>
    </row>
    <row r="875" spans="1:8" ht="15.7" customHeight="1" x14ac:dyDescent="0.3">
      <c r="A875" s="2"/>
      <c r="B875" s="2"/>
      <c r="C875" s="2"/>
      <c r="D875" s="2"/>
      <c r="E875" s="2"/>
      <c r="F875" s="2"/>
      <c r="G875" s="2"/>
      <c r="H875" s="2"/>
    </row>
    <row r="876" spans="1:8" ht="15.7" customHeight="1" x14ac:dyDescent="0.3">
      <c r="A876" s="2"/>
      <c r="B876" s="2"/>
      <c r="C876" s="2"/>
      <c r="D876" s="2"/>
      <c r="E876" s="2"/>
      <c r="F876" s="2"/>
      <c r="G876" s="2"/>
      <c r="H876" s="2"/>
    </row>
    <row r="877" spans="1:8" ht="15.7" customHeight="1" x14ac:dyDescent="0.3">
      <c r="A877" s="2"/>
      <c r="B877" s="2"/>
      <c r="C877" s="2"/>
      <c r="D877" s="2"/>
      <c r="E877" s="2"/>
      <c r="F877" s="2"/>
      <c r="G877" s="2"/>
      <c r="H877" s="2"/>
    </row>
    <row r="878" spans="1:8" ht="15.7" customHeight="1" x14ac:dyDescent="0.3">
      <c r="A878" s="2"/>
      <c r="B878" s="2"/>
      <c r="C878" s="2"/>
      <c r="D878" s="2"/>
      <c r="E878" s="2"/>
      <c r="F878" s="2"/>
      <c r="G878" s="2"/>
      <c r="H878" s="2"/>
    </row>
    <row r="879" spans="1:8" ht="15.7" customHeight="1" x14ac:dyDescent="0.3">
      <c r="A879" s="2"/>
      <c r="B879" s="2"/>
      <c r="C879" s="2"/>
      <c r="D879" s="2"/>
      <c r="E879" s="2"/>
      <c r="F879" s="2"/>
      <c r="G879" s="2"/>
      <c r="H879" s="2"/>
    </row>
    <row r="880" spans="1:8" ht="15.7" customHeight="1" x14ac:dyDescent="0.3">
      <c r="A880" s="2"/>
      <c r="B880" s="2"/>
      <c r="C880" s="2"/>
      <c r="D880" s="2"/>
      <c r="E880" s="2"/>
      <c r="F880" s="2"/>
      <c r="G880" s="2"/>
      <c r="H880" s="2"/>
    </row>
    <row r="881" spans="1:8" ht="15.7" customHeight="1" x14ac:dyDescent="0.3">
      <c r="A881" s="2"/>
      <c r="B881" s="2"/>
      <c r="C881" s="2"/>
      <c r="D881" s="2"/>
      <c r="E881" s="2"/>
      <c r="F881" s="2"/>
      <c r="G881" s="2"/>
      <c r="H881" s="2"/>
    </row>
    <row r="882" spans="1:8" ht="15.7" customHeight="1" x14ac:dyDescent="0.3">
      <c r="A882" s="2"/>
      <c r="B882" s="2"/>
      <c r="C882" s="2"/>
      <c r="D882" s="2"/>
      <c r="E882" s="2"/>
      <c r="F882" s="2"/>
      <c r="G882" s="2"/>
      <c r="H882" s="2"/>
    </row>
    <row r="883" spans="1:8" ht="15.7" customHeight="1" x14ac:dyDescent="0.3">
      <c r="A883" s="2"/>
      <c r="B883" s="2"/>
      <c r="C883" s="2"/>
      <c r="D883" s="2"/>
      <c r="E883" s="2"/>
      <c r="F883" s="2"/>
      <c r="G883" s="2"/>
      <c r="H883" s="2"/>
    </row>
    <row r="884" spans="1:8" ht="15.7" customHeight="1" x14ac:dyDescent="0.3">
      <c r="A884" s="2"/>
      <c r="B884" s="2"/>
      <c r="C884" s="2"/>
      <c r="D884" s="2"/>
      <c r="E884" s="2"/>
      <c r="F884" s="2"/>
      <c r="G884" s="2"/>
      <c r="H884" s="2"/>
    </row>
    <row r="885" spans="1:8" ht="15.7" customHeight="1" x14ac:dyDescent="0.3">
      <c r="A885" s="2"/>
      <c r="B885" s="2"/>
      <c r="C885" s="2"/>
      <c r="D885" s="2"/>
      <c r="E885" s="2"/>
      <c r="F885" s="2"/>
      <c r="G885" s="2"/>
      <c r="H885" s="2"/>
    </row>
    <row r="886" spans="1:8" ht="15.7" customHeight="1" x14ac:dyDescent="0.3">
      <c r="A886" s="2"/>
      <c r="B886" s="2"/>
      <c r="C886" s="2"/>
      <c r="D886" s="2"/>
      <c r="E886" s="2"/>
      <c r="F886" s="2"/>
      <c r="G886" s="2"/>
      <c r="H886" s="2"/>
    </row>
    <row r="887" spans="1:8" ht="15.7" customHeight="1" x14ac:dyDescent="0.3">
      <c r="A887" s="2"/>
      <c r="B887" s="2"/>
      <c r="C887" s="2"/>
      <c r="D887" s="2"/>
      <c r="E887" s="2"/>
      <c r="F887" s="2"/>
      <c r="G887" s="2"/>
      <c r="H887" s="2"/>
    </row>
    <row r="888" spans="1:8" ht="15.7" customHeight="1" x14ac:dyDescent="0.3">
      <c r="A888" s="2"/>
      <c r="B888" s="2"/>
      <c r="C888" s="2"/>
      <c r="D888" s="2"/>
      <c r="E888" s="2"/>
      <c r="F888" s="2"/>
      <c r="G888" s="2"/>
      <c r="H888" s="2"/>
    </row>
    <row r="889" spans="1:8" ht="15.7" customHeight="1" x14ac:dyDescent="0.3">
      <c r="A889" s="2"/>
      <c r="B889" s="2"/>
      <c r="C889" s="2"/>
      <c r="D889" s="2"/>
      <c r="E889" s="2"/>
      <c r="F889" s="2"/>
      <c r="G889" s="2"/>
      <c r="H889" s="2"/>
    </row>
    <row r="890" spans="1:8" ht="15.7" customHeight="1" x14ac:dyDescent="0.3">
      <c r="A890" s="2"/>
      <c r="B890" s="2"/>
      <c r="C890" s="2"/>
      <c r="D890" s="2"/>
      <c r="E890" s="2"/>
      <c r="F890" s="2"/>
      <c r="G890" s="2"/>
      <c r="H890" s="2"/>
    </row>
    <row r="891" spans="1:8" ht="15.7" customHeight="1" x14ac:dyDescent="0.3">
      <c r="A891" s="2"/>
      <c r="B891" s="2"/>
      <c r="C891" s="2"/>
      <c r="D891" s="2"/>
      <c r="E891" s="2"/>
      <c r="F891" s="2"/>
      <c r="G891" s="2"/>
      <c r="H891" s="2"/>
    </row>
    <row r="892" spans="1:8" ht="15.7" customHeight="1" x14ac:dyDescent="0.3">
      <c r="A892" s="2"/>
      <c r="B892" s="2"/>
      <c r="C892" s="2"/>
      <c r="D892" s="2"/>
      <c r="E892" s="2"/>
      <c r="F892" s="2"/>
      <c r="G892" s="2"/>
      <c r="H892" s="2"/>
    </row>
    <row r="893" spans="1:8" ht="15.7" customHeight="1" x14ac:dyDescent="0.3">
      <c r="A893" s="2"/>
      <c r="B893" s="2"/>
      <c r="C893" s="2"/>
      <c r="D893" s="2"/>
      <c r="E893" s="2"/>
      <c r="F893" s="2"/>
      <c r="G893" s="2"/>
      <c r="H893" s="2"/>
    </row>
    <row r="894" spans="1:8" ht="15.7" customHeight="1" x14ac:dyDescent="0.3">
      <c r="A894" s="2"/>
      <c r="B894" s="2"/>
      <c r="C894" s="2"/>
      <c r="D894" s="2"/>
      <c r="E894" s="2"/>
      <c r="F894" s="2"/>
      <c r="G894" s="2"/>
      <c r="H894" s="2"/>
    </row>
    <row r="895" spans="1:8" ht="15.7" customHeight="1" x14ac:dyDescent="0.3">
      <c r="A895" s="2"/>
      <c r="B895" s="2"/>
      <c r="C895" s="2"/>
      <c r="D895" s="2"/>
      <c r="E895" s="2"/>
      <c r="F895" s="2"/>
      <c r="G895" s="2"/>
      <c r="H895" s="2"/>
    </row>
    <row r="896" spans="1:8" ht="15.7" customHeight="1" x14ac:dyDescent="0.3">
      <c r="A896" s="2"/>
      <c r="B896" s="2"/>
      <c r="C896" s="2"/>
      <c r="D896" s="2"/>
      <c r="E896" s="2"/>
      <c r="F896" s="2"/>
      <c r="G896" s="2"/>
      <c r="H896" s="2"/>
    </row>
    <row r="897" spans="1:8" ht="15.7" customHeight="1" x14ac:dyDescent="0.3">
      <c r="A897" s="2"/>
      <c r="B897" s="2"/>
      <c r="C897" s="2"/>
      <c r="D897" s="2"/>
      <c r="E897" s="2"/>
      <c r="F897" s="2"/>
      <c r="G897" s="2"/>
      <c r="H897" s="2"/>
    </row>
    <row r="898" spans="1:8" ht="15.7" customHeight="1" x14ac:dyDescent="0.3">
      <c r="A898" s="2"/>
      <c r="B898" s="2"/>
      <c r="C898" s="2"/>
      <c r="D898" s="2"/>
      <c r="E898" s="2"/>
      <c r="F898" s="2"/>
      <c r="G898" s="2"/>
      <c r="H898" s="2"/>
    </row>
    <row r="899" spans="1:8" ht="15.7" customHeight="1" x14ac:dyDescent="0.3">
      <c r="A899" s="2"/>
      <c r="B899" s="2"/>
      <c r="C899" s="2"/>
      <c r="D899" s="2"/>
      <c r="E899" s="2"/>
      <c r="F899" s="2"/>
      <c r="G899" s="2"/>
      <c r="H899" s="2"/>
    </row>
    <row r="900" spans="1:8" ht="15.7" customHeight="1" x14ac:dyDescent="0.3">
      <c r="A900" s="2"/>
      <c r="B900" s="2"/>
      <c r="C900" s="2"/>
      <c r="D900" s="2"/>
      <c r="E900" s="2"/>
      <c r="F900" s="2"/>
      <c r="G900" s="2"/>
      <c r="H900" s="2"/>
    </row>
    <row r="901" spans="1:8" ht="15.7" customHeight="1" x14ac:dyDescent="0.3">
      <c r="A901" s="2"/>
      <c r="B901" s="2"/>
      <c r="C901" s="2"/>
      <c r="D901" s="2"/>
      <c r="E901" s="2"/>
      <c r="F901" s="2"/>
      <c r="G901" s="2"/>
      <c r="H901" s="2"/>
    </row>
    <row r="902" spans="1:8" ht="15.7" customHeight="1" x14ac:dyDescent="0.3">
      <c r="A902" s="2"/>
      <c r="B902" s="2"/>
      <c r="C902" s="2"/>
      <c r="D902" s="2"/>
      <c r="E902" s="2"/>
      <c r="F902" s="2"/>
      <c r="G902" s="2"/>
      <c r="H902" s="2"/>
    </row>
    <row r="903" spans="1:8" ht="15.7" customHeight="1" x14ac:dyDescent="0.3">
      <c r="A903" s="2"/>
      <c r="B903" s="2"/>
      <c r="C903" s="2"/>
      <c r="D903" s="2"/>
      <c r="E903" s="2"/>
      <c r="F903" s="2"/>
      <c r="G903" s="2"/>
      <c r="H903" s="2"/>
    </row>
    <row r="904" spans="1:8" ht="15.7" customHeight="1" x14ac:dyDescent="0.3">
      <c r="A904" s="2"/>
      <c r="B904" s="2"/>
      <c r="C904" s="2"/>
      <c r="D904" s="2"/>
      <c r="E904" s="2"/>
      <c r="F904" s="2"/>
      <c r="G904" s="2"/>
      <c r="H904" s="2"/>
    </row>
    <row r="905" spans="1:8" ht="15.7" customHeight="1" x14ac:dyDescent="0.3">
      <c r="A905" s="2"/>
      <c r="B905" s="2"/>
      <c r="C905" s="2"/>
      <c r="D905" s="2"/>
      <c r="E905" s="2"/>
      <c r="F905" s="2"/>
      <c r="G905" s="2"/>
      <c r="H905" s="2"/>
    </row>
    <row r="906" spans="1:8" ht="15.7" customHeight="1" x14ac:dyDescent="0.3">
      <c r="A906" s="2"/>
      <c r="B906" s="2"/>
      <c r="C906" s="2"/>
      <c r="D906" s="2"/>
      <c r="E906" s="2"/>
      <c r="F906" s="2"/>
      <c r="G906" s="2"/>
      <c r="H906" s="2"/>
    </row>
    <row r="907" spans="1:8" ht="15.7" customHeight="1" x14ac:dyDescent="0.3">
      <c r="A907" s="2"/>
      <c r="B907" s="2"/>
      <c r="C907" s="2"/>
      <c r="D907" s="2"/>
      <c r="E907" s="2"/>
      <c r="F907" s="2"/>
      <c r="G907" s="2"/>
      <c r="H907" s="2"/>
    </row>
    <row r="908" spans="1:8" ht="15.7" customHeight="1" x14ac:dyDescent="0.3">
      <c r="A908" s="2"/>
      <c r="B908" s="2"/>
      <c r="C908" s="2"/>
      <c r="D908" s="2"/>
      <c r="E908" s="2"/>
      <c r="F908" s="2"/>
      <c r="G908" s="2"/>
      <c r="H908" s="2"/>
    </row>
    <row r="909" spans="1:8" ht="15.7" customHeight="1" x14ac:dyDescent="0.3">
      <c r="A909" s="2"/>
      <c r="B909" s="2"/>
      <c r="C909" s="2"/>
      <c r="D909" s="2"/>
      <c r="E909" s="2"/>
      <c r="F909" s="2"/>
      <c r="G909" s="2"/>
      <c r="H909" s="2"/>
    </row>
    <row r="910" spans="1:8" ht="15.7" customHeight="1" x14ac:dyDescent="0.3">
      <c r="A910" s="2"/>
      <c r="B910" s="2"/>
      <c r="C910" s="2"/>
      <c r="D910" s="2"/>
      <c r="E910" s="2"/>
      <c r="F910" s="2"/>
      <c r="G910" s="2"/>
      <c r="H910" s="2"/>
    </row>
    <row r="911" spans="1:8" ht="15.7" customHeight="1" x14ac:dyDescent="0.3">
      <c r="A911" s="2"/>
      <c r="B911" s="2"/>
      <c r="C911" s="2"/>
      <c r="D911" s="2"/>
      <c r="E911" s="2"/>
      <c r="F911" s="2"/>
      <c r="G911" s="2"/>
      <c r="H911" s="2"/>
    </row>
    <row r="912" spans="1:8" ht="15.7" customHeight="1" x14ac:dyDescent="0.3">
      <c r="A912" s="2"/>
      <c r="B912" s="2"/>
      <c r="C912" s="2"/>
      <c r="D912" s="2"/>
      <c r="E912" s="2"/>
      <c r="F912" s="2"/>
      <c r="G912" s="2"/>
      <c r="H912" s="2"/>
    </row>
    <row r="913" spans="1:8" ht="15.7" customHeight="1" x14ac:dyDescent="0.3">
      <c r="A913" s="2"/>
      <c r="B913" s="2"/>
      <c r="C913" s="2"/>
      <c r="D913" s="2"/>
      <c r="E913" s="2"/>
      <c r="F913" s="2"/>
      <c r="G913" s="2"/>
      <c r="H913" s="2"/>
    </row>
    <row r="914" spans="1:8" ht="15.7" customHeight="1" x14ac:dyDescent="0.3">
      <c r="A914" s="2"/>
      <c r="B914" s="2"/>
      <c r="C914" s="2"/>
      <c r="D914" s="2"/>
      <c r="E914" s="2"/>
      <c r="F914" s="2"/>
      <c r="G914" s="2"/>
      <c r="H914" s="2"/>
    </row>
    <row r="915" spans="1:8" ht="15.7" customHeight="1" x14ac:dyDescent="0.3">
      <c r="A915" s="2"/>
      <c r="B915" s="2"/>
      <c r="C915" s="2"/>
      <c r="D915" s="2"/>
      <c r="E915" s="2"/>
      <c r="F915" s="2"/>
      <c r="G915" s="2"/>
      <c r="H915" s="2"/>
    </row>
    <row r="916" spans="1:8" ht="15.7" customHeight="1" x14ac:dyDescent="0.3">
      <c r="A916" s="2"/>
      <c r="B916" s="2"/>
      <c r="C916" s="2"/>
      <c r="D916" s="2"/>
      <c r="E916" s="2"/>
      <c r="F916" s="2"/>
      <c r="G916" s="2"/>
      <c r="H916" s="2"/>
    </row>
    <row r="917" spans="1:8" ht="15.7" customHeight="1" x14ac:dyDescent="0.3">
      <c r="A917" s="2"/>
      <c r="B917" s="2"/>
      <c r="C917" s="2"/>
      <c r="D917" s="2"/>
      <c r="E917" s="2"/>
      <c r="F917" s="2"/>
      <c r="G917" s="2"/>
      <c r="H917" s="2"/>
    </row>
    <row r="918" spans="1:8" ht="15.7" customHeight="1" x14ac:dyDescent="0.3">
      <c r="A918" s="2"/>
      <c r="B918" s="2"/>
      <c r="C918" s="2"/>
      <c r="D918" s="2"/>
      <c r="E918" s="2"/>
      <c r="F918" s="2"/>
      <c r="G918" s="2"/>
      <c r="H918" s="2"/>
    </row>
    <row r="919" spans="1:8" ht="15.7" customHeight="1" x14ac:dyDescent="0.3">
      <c r="A919" s="2"/>
      <c r="B919" s="2"/>
      <c r="C919" s="2"/>
      <c r="D919" s="2"/>
      <c r="E919" s="2"/>
      <c r="F919" s="2"/>
      <c r="G919" s="2"/>
      <c r="H919" s="2"/>
    </row>
    <row r="920" spans="1:8" ht="15.7" customHeight="1" x14ac:dyDescent="0.3">
      <c r="A920" s="2"/>
      <c r="B920" s="2"/>
      <c r="C920" s="2"/>
      <c r="D920" s="2"/>
      <c r="E920" s="2"/>
      <c r="F920" s="2"/>
      <c r="G920" s="2"/>
      <c r="H920" s="2"/>
    </row>
    <row r="921" spans="1:8" ht="15.7" customHeight="1" x14ac:dyDescent="0.3">
      <c r="A921" s="2"/>
      <c r="B921" s="2"/>
      <c r="C921" s="2"/>
      <c r="D921" s="2"/>
      <c r="E921" s="2"/>
      <c r="F921" s="2"/>
      <c r="G921" s="2"/>
      <c r="H921" s="2"/>
    </row>
    <row r="922" spans="1:8" ht="15.7" customHeight="1" x14ac:dyDescent="0.3">
      <c r="A922" s="2"/>
      <c r="B922" s="2"/>
      <c r="C922" s="2"/>
      <c r="D922" s="2"/>
      <c r="E922" s="2"/>
      <c r="F922" s="2"/>
      <c r="G922" s="2"/>
      <c r="H922" s="2"/>
    </row>
    <row r="923" spans="1:8" ht="15.7" customHeight="1" x14ac:dyDescent="0.3">
      <c r="A923" s="2"/>
      <c r="B923" s="2"/>
      <c r="C923" s="2"/>
      <c r="D923" s="2"/>
      <c r="E923" s="2"/>
      <c r="F923" s="2"/>
      <c r="G923" s="2"/>
      <c r="H923" s="2"/>
    </row>
    <row r="924" spans="1:8" ht="15.7" customHeight="1" x14ac:dyDescent="0.3">
      <c r="A924" s="2"/>
      <c r="B924" s="2"/>
      <c r="C924" s="2"/>
      <c r="D924" s="2"/>
      <c r="E924" s="2"/>
      <c r="F924" s="2"/>
      <c r="G924" s="2"/>
      <c r="H924" s="2"/>
    </row>
    <row r="925" spans="1:8" ht="15.7" customHeight="1" x14ac:dyDescent="0.3">
      <c r="A925" s="2"/>
      <c r="B925" s="2"/>
      <c r="C925" s="2"/>
      <c r="D925" s="2"/>
      <c r="E925" s="2"/>
      <c r="F925" s="2"/>
      <c r="G925" s="2"/>
      <c r="H925" s="2"/>
    </row>
    <row r="926" spans="1:8" ht="15.7" customHeight="1" x14ac:dyDescent="0.3">
      <c r="A926" s="2"/>
      <c r="B926" s="2"/>
      <c r="C926" s="2"/>
      <c r="D926" s="2"/>
      <c r="E926" s="2"/>
      <c r="F926" s="2"/>
      <c r="G926" s="2"/>
      <c r="H926" s="2"/>
    </row>
    <row r="927" spans="1:8" ht="15.7" customHeight="1" x14ac:dyDescent="0.3">
      <c r="A927" s="2"/>
      <c r="B927" s="2"/>
      <c r="C927" s="2"/>
      <c r="D927" s="2"/>
      <c r="E927" s="2"/>
      <c r="F927" s="2"/>
      <c r="G927" s="2"/>
      <c r="H927" s="2"/>
    </row>
    <row r="928" spans="1:8" ht="15.7" customHeight="1" x14ac:dyDescent="0.3">
      <c r="A928" s="2"/>
      <c r="B928" s="2"/>
      <c r="C928" s="2"/>
      <c r="D928" s="2"/>
      <c r="E928" s="2"/>
      <c r="F928" s="2"/>
      <c r="G928" s="2"/>
      <c r="H928" s="2"/>
    </row>
    <row r="929" spans="1:8" ht="15.7" customHeight="1" x14ac:dyDescent="0.3">
      <c r="A929" s="2"/>
      <c r="B929" s="2"/>
      <c r="C929" s="2"/>
      <c r="D929" s="2"/>
      <c r="E929" s="2"/>
      <c r="F929" s="2"/>
      <c r="G929" s="2"/>
      <c r="H929" s="2"/>
    </row>
    <row r="930" spans="1:8" ht="15.7" customHeight="1" x14ac:dyDescent="0.3">
      <c r="A930" s="2"/>
      <c r="B930" s="2"/>
      <c r="C930" s="2"/>
      <c r="D930" s="2"/>
      <c r="E930" s="2"/>
      <c r="F930" s="2"/>
      <c r="G930" s="2"/>
      <c r="H930" s="2"/>
    </row>
    <row r="931" spans="1:8" ht="15.7" customHeight="1" x14ac:dyDescent="0.3">
      <c r="A931" s="2"/>
      <c r="B931" s="2"/>
      <c r="C931" s="2"/>
      <c r="D931" s="2"/>
      <c r="E931" s="2"/>
      <c r="F931" s="2"/>
      <c r="G931" s="2"/>
      <c r="H931" s="2"/>
    </row>
    <row r="932" spans="1:8" ht="15.7" customHeight="1" x14ac:dyDescent="0.3">
      <c r="A932" s="2"/>
      <c r="B932" s="2"/>
      <c r="C932" s="2"/>
      <c r="D932" s="2"/>
      <c r="E932" s="2"/>
      <c r="F932" s="2"/>
      <c r="G932" s="2"/>
      <c r="H932" s="2"/>
    </row>
    <row r="933" spans="1:8" ht="15.7" customHeight="1" x14ac:dyDescent="0.3">
      <c r="A933" s="2"/>
      <c r="B933" s="2"/>
      <c r="C933" s="2"/>
      <c r="D933" s="2"/>
      <c r="E933" s="2"/>
      <c r="F933" s="2"/>
      <c r="G933" s="2"/>
      <c r="H933" s="2"/>
    </row>
    <row r="934" spans="1:8" ht="15.7" customHeight="1" x14ac:dyDescent="0.3">
      <c r="A934" s="2"/>
      <c r="B934" s="2"/>
      <c r="C934" s="2"/>
      <c r="D934" s="2"/>
      <c r="E934" s="2"/>
      <c r="F934" s="2"/>
      <c r="G934" s="2"/>
      <c r="H934" s="2"/>
    </row>
    <row r="935" spans="1:8" ht="15.7" customHeight="1" x14ac:dyDescent="0.3">
      <c r="A935" s="2"/>
      <c r="B935" s="2"/>
      <c r="C935" s="2"/>
      <c r="D935" s="2"/>
      <c r="E935" s="2"/>
      <c r="F935" s="2"/>
      <c r="G935" s="2"/>
      <c r="H935" s="2"/>
    </row>
    <row r="936" spans="1:8" ht="15.7" customHeight="1" x14ac:dyDescent="0.3">
      <c r="A936" s="2"/>
      <c r="B936" s="2"/>
      <c r="C936" s="2"/>
      <c r="D936" s="2"/>
      <c r="E936" s="2"/>
      <c r="F936" s="2"/>
      <c r="G936" s="2"/>
      <c r="H936" s="2"/>
    </row>
    <row r="937" spans="1:8" ht="15.7" customHeight="1" x14ac:dyDescent="0.3">
      <c r="A937" s="2"/>
      <c r="B937" s="2"/>
      <c r="C937" s="2"/>
      <c r="D937" s="2"/>
      <c r="E937" s="2"/>
      <c r="F937" s="2"/>
      <c r="G937" s="2"/>
      <c r="H937" s="2"/>
    </row>
    <row r="938" spans="1:8" ht="15.7" customHeight="1" x14ac:dyDescent="0.3">
      <c r="A938" s="2"/>
      <c r="B938" s="2"/>
      <c r="C938" s="2"/>
      <c r="D938" s="2"/>
      <c r="E938" s="2"/>
      <c r="F938" s="2"/>
      <c r="G938" s="2"/>
      <c r="H938" s="2"/>
    </row>
    <row r="939" spans="1:8" ht="15.7" customHeight="1" x14ac:dyDescent="0.3">
      <c r="A939" s="2"/>
      <c r="B939" s="2"/>
      <c r="C939" s="2"/>
      <c r="D939" s="2"/>
      <c r="E939" s="2"/>
      <c r="F939" s="2"/>
      <c r="G939" s="2"/>
      <c r="H939" s="2"/>
    </row>
    <row r="940" spans="1:8" ht="15.7" customHeight="1" x14ac:dyDescent="0.3">
      <c r="A940" s="2"/>
      <c r="B940" s="2"/>
      <c r="C940" s="2"/>
      <c r="D940" s="2"/>
      <c r="E940" s="2"/>
      <c r="F940" s="2"/>
      <c r="G940" s="2"/>
      <c r="H940" s="2"/>
    </row>
    <row r="941" spans="1:8" ht="15.7" customHeight="1" x14ac:dyDescent="0.3">
      <c r="A941" s="2"/>
      <c r="B941" s="2"/>
      <c r="C941" s="2"/>
      <c r="D941" s="2"/>
      <c r="E941" s="2"/>
      <c r="F941" s="2"/>
      <c r="G941" s="2"/>
      <c r="H941" s="2"/>
    </row>
    <row r="942" spans="1:8" ht="15.7" customHeight="1" x14ac:dyDescent="0.3">
      <c r="A942" s="2"/>
      <c r="B942" s="2"/>
      <c r="C942" s="2"/>
      <c r="D942" s="2"/>
      <c r="E942" s="2"/>
      <c r="F942" s="2"/>
      <c r="G942" s="2"/>
      <c r="H942" s="2"/>
    </row>
    <row r="943" spans="1:8" ht="15.7" customHeight="1" x14ac:dyDescent="0.3">
      <c r="A943" s="2"/>
      <c r="B943" s="2"/>
      <c r="C943" s="2"/>
      <c r="D943" s="2"/>
      <c r="E943" s="2"/>
      <c r="F943" s="2"/>
      <c r="G943" s="2"/>
      <c r="H943" s="2"/>
    </row>
    <row r="944" spans="1:8" ht="15.7" customHeight="1" x14ac:dyDescent="0.3">
      <c r="A944" s="2"/>
      <c r="B944" s="2"/>
      <c r="C944" s="2"/>
      <c r="D944" s="2"/>
      <c r="E944" s="2"/>
      <c r="F944" s="2"/>
      <c r="G944" s="2"/>
      <c r="H944" s="2"/>
    </row>
    <row r="945" spans="1:8" ht="15.7" customHeight="1" x14ac:dyDescent="0.3">
      <c r="A945" s="2"/>
      <c r="B945" s="2"/>
      <c r="C945" s="2"/>
      <c r="D945" s="2"/>
      <c r="E945" s="2"/>
      <c r="F945" s="2"/>
      <c r="G945" s="2"/>
      <c r="H945" s="2"/>
    </row>
    <row r="946" spans="1:8" ht="15.7" customHeight="1" x14ac:dyDescent="0.3">
      <c r="A946" s="2"/>
      <c r="B946" s="2"/>
      <c r="C946" s="2"/>
      <c r="D946" s="2"/>
      <c r="E946" s="2"/>
      <c r="F946" s="2"/>
      <c r="G946" s="2"/>
      <c r="H946" s="2"/>
    </row>
    <row r="947" spans="1:8" ht="15.7" customHeight="1" x14ac:dyDescent="0.3">
      <c r="A947" s="2"/>
      <c r="B947" s="2"/>
      <c r="C947" s="2"/>
      <c r="D947" s="2"/>
      <c r="E947" s="2"/>
      <c r="F947" s="2"/>
      <c r="G947" s="2"/>
      <c r="H947" s="2"/>
    </row>
    <row r="948" spans="1:8" ht="15.7" customHeight="1" x14ac:dyDescent="0.3">
      <c r="A948" s="2"/>
      <c r="B948" s="2"/>
      <c r="C948" s="2"/>
      <c r="D948" s="2"/>
      <c r="E948" s="2"/>
      <c r="F948" s="2"/>
      <c r="G948" s="2"/>
      <c r="H948" s="2"/>
    </row>
    <row r="949" spans="1:8" ht="15.7" customHeight="1" x14ac:dyDescent="0.3">
      <c r="A949" s="2"/>
      <c r="B949" s="2"/>
      <c r="C949" s="2"/>
      <c r="D949" s="2"/>
      <c r="E949" s="2"/>
      <c r="F949" s="2"/>
      <c r="G949" s="2"/>
      <c r="H949" s="2"/>
    </row>
    <row r="950" spans="1:8" ht="15.7" customHeight="1" x14ac:dyDescent="0.3">
      <c r="A950" s="2"/>
      <c r="B950" s="2"/>
      <c r="C950" s="2"/>
      <c r="D950" s="2"/>
      <c r="E950" s="2"/>
      <c r="F950" s="2"/>
      <c r="G950" s="2"/>
      <c r="H950" s="2"/>
    </row>
    <row r="951" spans="1:8" ht="15.7" customHeight="1" x14ac:dyDescent="0.3">
      <c r="A951" s="2"/>
      <c r="B951" s="2"/>
      <c r="C951" s="2"/>
      <c r="D951" s="2"/>
      <c r="E951" s="2"/>
      <c r="F951" s="2"/>
      <c r="G951" s="2"/>
      <c r="H951" s="2"/>
    </row>
    <row r="952" spans="1:8" ht="15.7" customHeight="1" x14ac:dyDescent="0.3">
      <c r="A952" s="2"/>
      <c r="B952" s="2"/>
      <c r="C952" s="2"/>
      <c r="D952" s="2"/>
      <c r="E952" s="2"/>
      <c r="F952" s="2"/>
      <c r="G952" s="2"/>
      <c r="H952" s="2"/>
    </row>
    <row r="953" spans="1:8" ht="15.7" customHeight="1" x14ac:dyDescent="0.3">
      <c r="A953" s="2"/>
      <c r="B953" s="2"/>
      <c r="C953" s="2"/>
      <c r="D953" s="2"/>
      <c r="E953" s="2"/>
      <c r="F953" s="2"/>
      <c r="G953" s="2"/>
      <c r="H953" s="2"/>
    </row>
    <row r="954" spans="1:8" ht="15.7" customHeight="1" x14ac:dyDescent="0.3">
      <c r="A954" s="2"/>
      <c r="B954" s="2"/>
      <c r="C954" s="2"/>
      <c r="D954" s="2"/>
      <c r="E954" s="2"/>
      <c r="F954" s="2"/>
      <c r="G954" s="2"/>
      <c r="H954" s="2"/>
    </row>
    <row r="955" spans="1:8" ht="15.7" customHeight="1" x14ac:dyDescent="0.3">
      <c r="A955" s="2"/>
      <c r="B955" s="2"/>
      <c r="C955" s="2"/>
      <c r="D955" s="2"/>
      <c r="E955" s="2"/>
      <c r="F955" s="2"/>
      <c r="G955" s="2"/>
      <c r="H955" s="2"/>
    </row>
    <row r="956" spans="1:8" ht="15.7" customHeight="1" x14ac:dyDescent="0.3">
      <c r="A956" s="2"/>
      <c r="B956" s="2"/>
      <c r="C956" s="2"/>
      <c r="D956" s="2"/>
      <c r="E956" s="2"/>
      <c r="F956" s="2"/>
      <c r="G956" s="2"/>
      <c r="H956" s="2"/>
    </row>
    <row r="957" spans="1:8" ht="15.7" customHeight="1" x14ac:dyDescent="0.3">
      <c r="A957" s="2"/>
      <c r="B957" s="2"/>
      <c r="C957" s="2"/>
      <c r="D957" s="2"/>
      <c r="E957" s="2"/>
      <c r="F957" s="2"/>
      <c r="G957" s="2"/>
      <c r="H957" s="2"/>
    </row>
    <row r="958" spans="1:8" ht="15.7" customHeight="1" x14ac:dyDescent="0.3">
      <c r="A958" s="2"/>
      <c r="B958" s="2"/>
      <c r="C958" s="2"/>
      <c r="D958" s="2"/>
      <c r="E958" s="2"/>
      <c r="F958" s="2"/>
      <c r="G958" s="2"/>
      <c r="H958" s="2"/>
    </row>
    <row r="959" spans="1:8" ht="15.7" customHeight="1" x14ac:dyDescent="0.3">
      <c r="A959" s="2"/>
      <c r="B959" s="2"/>
      <c r="C959" s="2"/>
      <c r="D959" s="2"/>
      <c r="E959" s="2"/>
      <c r="F959" s="2"/>
      <c r="G959" s="2"/>
      <c r="H959" s="2"/>
    </row>
    <row r="960" spans="1:8" ht="15.7" customHeight="1" x14ac:dyDescent="0.3">
      <c r="A960" s="2"/>
      <c r="B960" s="2"/>
      <c r="C960" s="2"/>
      <c r="D960" s="2"/>
      <c r="E960" s="2"/>
      <c r="F960" s="2"/>
      <c r="G960" s="2"/>
      <c r="H960" s="2"/>
    </row>
    <row r="961" spans="1:8" ht="15.7" customHeight="1" x14ac:dyDescent="0.3">
      <c r="A961" s="2"/>
      <c r="B961" s="2"/>
      <c r="C961" s="2"/>
      <c r="D961" s="2"/>
      <c r="E961" s="2"/>
      <c r="F961" s="2"/>
      <c r="G961" s="2"/>
      <c r="H961" s="2"/>
    </row>
    <row r="962" spans="1:8" ht="15.7" customHeight="1" x14ac:dyDescent="0.3">
      <c r="A962" s="2"/>
      <c r="B962" s="2"/>
      <c r="C962" s="2"/>
      <c r="D962" s="2"/>
      <c r="E962" s="2"/>
      <c r="F962" s="2"/>
      <c r="G962" s="2"/>
      <c r="H962" s="2"/>
    </row>
    <row r="963" spans="1:8" ht="15.7" customHeight="1" x14ac:dyDescent="0.3">
      <c r="A963" s="2"/>
      <c r="B963" s="2"/>
      <c r="C963" s="2"/>
      <c r="D963" s="2"/>
      <c r="E963" s="2"/>
      <c r="F963" s="2"/>
      <c r="G963" s="2"/>
      <c r="H963" s="2"/>
    </row>
    <row r="964" spans="1:8" ht="15.7" customHeight="1" x14ac:dyDescent="0.3">
      <c r="A964" s="2"/>
      <c r="B964" s="2"/>
      <c r="C964" s="2"/>
      <c r="D964" s="2"/>
      <c r="E964" s="2"/>
      <c r="F964" s="2"/>
      <c r="G964" s="2"/>
      <c r="H964" s="2"/>
    </row>
    <row r="965" spans="1:8" ht="15.7" customHeight="1" x14ac:dyDescent="0.3">
      <c r="A965" s="2"/>
      <c r="B965" s="2"/>
      <c r="C965" s="2"/>
      <c r="D965" s="2"/>
      <c r="E965" s="2"/>
      <c r="F965" s="2"/>
      <c r="G965" s="2"/>
      <c r="H965" s="2"/>
    </row>
    <row r="966" spans="1:8" ht="15.7" customHeight="1" x14ac:dyDescent="0.3">
      <c r="A966" s="2"/>
      <c r="B966" s="2"/>
      <c r="C966" s="2"/>
      <c r="D966" s="2"/>
      <c r="E966" s="2"/>
      <c r="F966" s="2"/>
      <c r="G966" s="2"/>
      <c r="H966" s="2"/>
    </row>
    <row r="967" spans="1:8" ht="15.7" customHeight="1" x14ac:dyDescent="0.3">
      <c r="A967" s="2"/>
      <c r="B967" s="2"/>
      <c r="C967" s="2"/>
      <c r="D967" s="2"/>
      <c r="E967" s="2"/>
      <c r="F967" s="2"/>
      <c r="G967" s="2"/>
      <c r="H967" s="2"/>
    </row>
    <row r="968" spans="1:8" ht="15.7" customHeight="1" x14ac:dyDescent="0.3">
      <c r="A968" s="2"/>
      <c r="B968" s="2"/>
      <c r="C968" s="2"/>
      <c r="D968" s="2"/>
      <c r="E968" s="2"/>
      <c r="F968" s="2"/>
      <c r="G968" s="2"/>
      <c r="H968" s="2"/>
    </row>
    <row r="969" spans="1:8" ht="15.7" customHeight="1" x14ac:dyDescent="0.3">
      <c r="A969" s="2"/>
      <c r="B969" s="2"/>
      <c r="C969" s="2"/>
      <c r="D969" s="2"/>
      <c r="E969" s="2"/>
      <c r="F969" s="2"/>
      <c r="G969" s="2"/>
      <c r="H969" s="2"/>
    </row>
    <row r="970" spans="1:8" ht="15.7" customHeight="1" x14ac:dyDescent="0.3">
      <c r="A970" s="2"/>
      <c r="B970" s="2"/>
      <c r="C970" s="2"/>
      <c r="D970" s="2"/>
      <c r="E970" s="2"/>
      <c r="F970" s="2"/>
      <c r="G970" s="2"/>
      <c r="H970" s="2"/>
    </row>
    <row r="971" spans="1:8" ht="15.7" customHeight="1" x14ac:dyDescent="0.3">
      <c r="A971" s="2"/>
      <c r="B971" s="2"/>
      <c r="C971" s="2"/>
      <c r="D971" s="2"/>
      <c r="E971" s="2"/>
      <c r="F971" s="2"/>
      <c r="G971" s="2"/>
      <c r="H971" s="2"/>
    </row>
    <row r="972" spans="1:8" ht="15.7" customHeight="1" x14ac:dyDescent="0.3">
      <c r="A972" s="2"/>
      <c r="B972" s="2"/>
      <c r="C972" s="2"/>
      <c r="D972" s="2"/>
      <c r="E972" s="2"/>
      <c r="F972" s="2"/>
      <c r="G972" s="2"/>
      <c r="H972" s="2"/>
    </row>
    <row r="973" spans="1:8" ht="15.7" customHeight="1" x14ac:dyDescent="0.3">
      <c r="A973" s="2"/>
      <c r="B973" s="2"/>
      <c r="C973" s="2"/>
      <c r="D973" s="2"/>
      <c r="E973" s="2"/>
      <c r="F973" s="2"/>
      <c r="G973" s="2"/>
      <c r="H973" s="2"/>
    </row>
    <row r="974" spans="1:8" ht="15.7" customHeight="1" x14ac:dyDescent="0.3">
      <c r="A974" s="2"/>
      <c r="B974" s="2"/>
      <c r="C974" s="2"/>
      <c r="D974" s="2"/>
      <c r="E974" s="2"/>
      <c r="F974" s="2"/>
      <c r="G974" s="2"/>
      <c r="H974" s="2"/>
    </row>
    <row r="975" spans="1:8" ht="15.7" customHeight="1" x14ac:dyDescent="0.3">
      <c r="A975" s="2"/>
      <c r="B975" s="2"/>
      <c r="C975" s="2"/>
      <c r="D975" s="2"/>
      <c r="E975" s="2"/>
      <c r="F975" s="2"/>
      <c r="G975" s="2"/>
      <c r="H975" s="2"/>
    </row>
    <row r="976" spans="1:8" ht="15.7" customHeight="1" x14ac:dyDescent="0.3">
      <c r="A976" s="2"/>
      <c r="B976" s="2"/>
      <c r="C976" s="2"/>
      <c r="D976" s="2"/>
      <c r="E976" s="2"/>
      <c r="F976" s="2"/>
      <c r="G976" s="2"/>
      <c r="H976" s="2"/>
    </row>
    <row r="977" spans="1:8" ht="15.7" customHeight="1" x14ac:dyDescent="0.3">
      <c r="A977" s="2"/>
      <c r="B977" s="2"/>
      <c r="C977" s="2"/>
      <c r="D977" s="2"/>
      <c r="E977" s="2"/>
      <c r="F977" s="2"/>
      <c r="G977" s="2"/>
      <c r="H977" s="2"/>
    </row>
    <row r="978" spans="1:8" ht="15.7" customHeight="1" x14ac:dyDescent="0.3">
      <c r="A978" s="2"/>
      <c r="B978" s="2"/>
      <c r="C978" s="2"/>
      <c r="D978" s="2"/>
      <c r="E978" s="2"/>
      <c r="F978" s="2"/>
      <c r="G978" s="2"/>
      <c r="H978" s="2"/>
    </row>
    <row r="979" spans="1:8" ht="15.7" customHeight="1" x14ac:dyDescent="0.3">
      <c r="A979" s="2"/>
      <c r="B979" s="2"/>
      <c r="C979" s="2"/>
      <c r="D979" s="2"/>
      <c r="E979" s="2"/>
      <c r="F979" s="2"/>
      <c r="G979" s="2"/>
      <c r="H979" s="2"/>
    </row>
    <row r="980" spans="1:8" ht="15.7" customHeight="1" x14ac:dyDescent="0.3">
      <c r="A980" s="2"/>
      <c r="B980" s="2"/>
      <c r="C980" s="2"/>
      <c r="D980" s="2"/>
      <c r="E980" s="2"/>
      <c r="F980" s="2"/>
      <c r="G980" s="2"/>
      <c r="H980" s="2"/>
    </row>
    <row r="981" spans="1:8" ht="15.7" customHeight="1" x14ac:dyDescent="0.3">
      <c r="A981" s="2"/>
      <c r="B981" s="2"/>
      <c r="C981" s="2"/>
      <c r="D981" s="2"/>
      <c r="E981" s="2"/>
      <c r="F981" s="2"/>
      <c r="G981" s="2"/>
      <c r="H981" s="2"/>
    </row>
    <row r="982" spans="1:8" ht="15.7" customHeight="1" x14ac:dyDescent="0.3">
      <c r="A982" s="2"/>
      <c r="B982" s="2"/>
      <c r="C982" s="2"/>
      <c r="D982" s="2"/>
      <c r="E982" s="2"/>
      <c r="F982" s="2"/>
      <c r="G982" s="2"/>
      <c r="H982" s="2"/>
    </row>
    <row r="983" spans="1:8" ht="15.7" customHeight="1" x14ac:dyDescent="0.3">
      <c r="A983" s="2"/>
      <c r="B983" s="2"/>
      <c r="C983" s="2"/>
      <c r="D983" s="2"/>
      <c r="E983" s="2"/>
      <c r="F983" s="2"/>
      <c r="G983" s="2"/>
      <c r="H983" s="2"/>
    </row>
    <row r="984" spans="1:8" ht="15.7" customHeight="1" x14ac:dyDescent="0.3">
      <c r="A984" s="2"/>
      <c r="B984" s="2"/>
      <c r="C984" s="2"/>
      <c r="D984" s="2"/>
      <c r="E984" s="2"/>
      <c r="F984" s="2"/>
      <c r="G984" s="2"/>
      <c r="H984" s="2"/>
    </row>
    <row r="985" spans="1:8" ht="15.7" customHeight="1" x14ac:dyDescent="0.3">
      <c r="A985" s="2"/>
      <c r="B985" s="2"/>
      <c r="C985" s="2"/>
      <c r="D985" s="2"/>
      <c r="E985" s="2"/>
      <c r="F985" s="2"/>
      <c r="G985" s="2"/>
      <c r="H985" s="2"/>
    </row>
    <row r="986" spans="1:8" ht="15.7" customHeight="1" x14ac:dyDescent="0.3">
      <c r="A986" s="2"/>
      <c r="B986" s="2"/>
      <c r="C986" s="2"/>
      <c r="D986" s="2"/>
      <c r="E986" s="2"/>
      <c r="F986" s="2"/>
      <c r="G986" s="2"/>
      <c r="H986" s="2"/>
    </row>
    <row r="987" spans="1:8" ht="15.7" customHeight="1" x14ac:dyDescent="0.3">
      <c r="A987" s="2"/>
      <c r="B987" s="2"/>
      <c r="C987" s="2"/>
      <c r="D987" s="2"/>
      <c r="E987" s="2"/>
      <c r="F987" s="2"/>
      <c r="G987" s="2"/>
      <c r="H987" s="2"/>
    </row>
    <row r="988" spans="1:8" ht="15.7" customHeight="1" x14ac:dyDescent="0.3">
      <c r="A988" s="2"/>
      <c r="B988" s="2"/>
      <c r="C988" s="2"/>
      <c r="D988" s="2"/>
      <c r="E988" s="2"/>
      <c r="F988" s="2"/>
      <c r="G988" s="2"/>
      <c r="H988" s="2"/>
    </row>
    <row r="989" spans="1:8" ht="15.7" customHeight="1" x14ac:dyDescent="0.3">
      <c r="A989" s="2"/>
      <c r="B989" s="2"/>
      <c r="C989" s="2"/>
      <c r="D989" s="2"/>
      <c r="E989" s="2"/>
      <c r="F989" s="2"/>
      <c r="G989" s="2"/>
      <c r="H989" s="2"/>
    </row>
    <row r="990" spans="1:8" ht="15.7" customHeight="1" x14ac:dyDescent="0.3">
      <c r="A990" s="2"/>
      <c r="B990" s="2"/>
      <c r="C990" s="2"/>
      <c r="D990" s="2"/>
      <c r="E990" s="2"/>
      <c r="F990" s="2"/>
      <c r="G990" s="2"/>
      <c r="H990" s="2"/>
    </row>
    <row r="991" spans="1:8" ht="15.7" customHeight="1" x14ac:dyDescent="0.3">
      <c r="A991" s="2"/>
      <c r="B991" s="2"/>
      <c r="C991" s="2"/>
      <c r="D991" s="2"/>
      <c r="E991" s="2"/>
      <c r="F991" s="2"/>
      <c r="G991" s="2"/>
      <c r="H991" s="2"/>
    </row>
    <row r="992" spans="1:8" ht="15.7" customHeight="1" x14ac:dyDescent="0.3">
      <c r="A992" s="2"/>
      <c r="B992" s="2"/>
      <c r="C992" s="2"/>
      <c r="D992" s="2"/>
      <c r="E992" s="2"/>
      <c r="F992" s="2"/>
      <c r="G992" s="2"/>
      <c r="H992" s="2"/>
    </row>
    <row r="993" spans="1:8" ht="15.7" customHeight="1" x14ac:dyDescent="0.3">
      <c r="A993" s="2"/>
      <c r="B993" s="2"/>
      <c r="C993" s="2"/>
      <c r="D993" s="2"/>
      <c r="E993" s="2"/>
      <c r="F993" s="2"/>
      <c r="G993" s="2"/>
      <c r="H993" s="2"/>
    </row>
    <row r="994" spans="1:8" ht="15.7" customHeight="1" x14ac:dyDescent="0.3">
      <c r="A994" s="2"/>
      <c r="B994" s="2"/>
      <c r="C994" s="2"/>
      <c r="D994" s="2"/>
      <c r="E994" s="2"/>
      <c r="F994" s="2"/>
      <c r="G994" s="2"/>
      <c r="H994" s="2"/>
    </row>
    <row r="995" spans="1:8" ht="15.7" customHeight="1" x14ac:dyDescent="0.3">
      <c r="A995" s="2"/>
      <c r="B995" s="2"/>
      <c r="C995" s="2"/>
      <c r="D995" s="2"/>
      <c r="E995" s="2"/>
      <c r="F995" s="2"/>
      <c r="G995" s="2"/>
      <c r="H995" s="2"/>
    </row>
    <row r="996" spans="1:8" ht="15.7" customHeight="1" x14ac:dyDescent="0.3">
      <c r="A996" s="2"/>
      <c r="B996" s="2"/>
      <c r="C996" s="2"/>
      <c r="D996" s="2"/>
      <c r="E996" s="2"/>
      <c r="F996" s="2"/>
      <c r="G996" s="2"/>
      <c r="H996" s="2"/>
    </row>
    <row r="997" spans="1:8" ht="15.7" customHeight="1" x14ac:dyDescent="0.3">
      <c r="A997" s="2"/>
      <c r="B997" s="2"/>
      <c r="C997" s="2"/>
      <c r="D997" s="2"/>
      <c r="E997" s="2"/>
      <c r="F997" s="2"/>
      <c r="G997" s="2"/>
      <c r="H997" s="2"/>
    </row>
    <row r="998" spans="1:8" ht="15.7" customHeight="1" x14ac:dyDescent="0.3">
      <c r="A998" s="2"/>
      <c r="B998" s="2"/>
      <c r="C998" s="2"/>
      <c r="D998" s="2"/>
      <c r="E998" s="2"/>
      <c r="F998" s="2"/>
      <c r="G998" s="2"/>
      <c r="H998" s="2"/>
    </row>
    <row r="999" spans="1:8" ht="15.7" customHeight="1" x14ac:dyDescent="0.3">
      <c r="A999" s="2"/>
      <c r="B999" s="2"/>
      <c r="C999" s="2"/>
      <c r="D999" s="2"/>
      <c r="E999" s="2"/>
      <c r="F999" s="2"/>
      <c r="G999" s="2"/>
      <c r="H999" s="2"/>
    </row>
    <row r="1000" spans="1:8" ht="15.7" customHeight="1" x14ac:dyDescent="0.3">
      <c r="A1000" s="2"/>
      <c r="B1000" s="2"/>
      <c r="C1000" s="2"/>
      <c r="D1000" s="2"/>
      <c r="E1000" s="2"/>
      <c r="F1000" s="2"/>
      <c r="G1000" s="2"/>
      <c r="H1000" s="2"/>
    </row>
  </sheetData>
  <mergeCells count="99">
    <mergeCell ref="F37:F41"/>
    <mergeCell ref="F42:F46"/>
    <mergeCell ref="F47:F51"/>
    <mergeCell ref="F52:F56"/>
    <mergeCell ref="F57:F61"/>
    <mergeCell ref="A67:A71"/>
    <mergeCell ref="A72:A76"/>
    <mergeCell ref="A77:A81"/>
    <mergeCell ref="A82:A86"/>
    <mergeCell ref="F62:F66"/>
    <mergeCell ref="F27:F31"/>
    <mergeCell ref="G27:G31"/>
    <mergeCell ref="G32:G36"/>
    <mergeCell ref="A17:A21"/>
    <mergeCell ref="A22:A26"/>
    <mergeCell ref="A27:A31"/>
    <mergeCell ref="A32:A36"/>
    <mergeCell ref="F32:F36"/>
    <mergeCell ref="G17:G21"/>
    <mergeCell ref="F17:F21"/>
    <mergeCell ref="F22:F26"/>
    <mergeCell ref="G22:G26"/>
    <mergeCell ref="F12:F16"/>
    <mergeCell ref="G12:G16"/>
    <mergeCell ref="A2:A6"/>
    <mergeCell ref="F2:F6"/>
    <mergeCell ref="G2:G6"/>
    <mergeCell ref="A7:A11"/>
    <mergeCell ref="G7:G11"/>
    <mergeCell ref="F7:F11"/>
    <mergeCell ref="A12:A16"/>
    <mergeCell ref="A157:A161"/>
    <mergeCell ref="A162:A164"/>
    <mergeCell ref="A122:A126"/>
    <mergeCell ref="A127:A131"/>
    <mergeCell ref="A132:A136"/>
    <mergeCell ref="A137:A141"/>
    <mergeCell ref="A142:A146"/>
    <mergeCell ref="A147:A151"/>
    <mergeCell ref="A152:A156"/>
    <mergeCell ref="A37:A41"/>
    <mergeCell ref="A42:A46"/>
    <mergeCell ref="A47:A51"/>
    <mergeCell ref="A52:A56"/>
    <mergeCell ref="A57:A61"/>
    <mergeCell ref="A62:A66"/>
    <mergeCell ref="A112:A116"/>
    <mergeCell ref="A117:A121"/>
    <mergeCell ref="F122:F126"/>
    <mergeCell ref="G122:G126"/>
    <mergeCell ref="G112:G116"/>
    <mergeCell ref="A87:A91"/>
    <mergeCell ref="A92:A96"/>
    <mergeCell ref="A97:A101"/>
    <mergeCell ref="A102:A106"/>
    <mergeCell ref="A107:A111"/>
    <mergeCell ref="F157:F161"/>
    <mergeCell ref="F162:F164"/>
    <mergeCell ref="F112:F116"/>
    <mergeCell ref="F117:F121"/>
    <mergeCell ref="F127:F131"/>
    <mergeCell ref="F132:F136"/>
    <mergeCell ref="F137:F141"/>
    <mergeCell ref="F142:F146"/>
    <mergeCell ref="F147:F151"/>
    <mergeCell ref="F152:F156"/>
    <mergeCell ref="G157:G161"/>
    <mergeCell ref="G162:G164"/>
    <mergeCell ref="G117:G121"/>
    <mergeCell ref="G127:G131"/>
    <mergeCell ref="G132:G136"/>
    <mergeCell ref="G137:G141"/>
    <mergeCell ref="G142:G146"/>
    <mergeCell ref="G147:G151"/>
    <mergeCell ref="G152:G156"/>
    <mergeCell ref="G97:G101"/>
    <mergeCell ref="F102:F106"/>
    <mergeCell ref="G102:G106"/>
    <mergeCell ref="F107:F111"/>
    <mergeCell ref="G107:G111"/>
    <mergeCell ref="F97:F101"/>
    <mergeCell ref="F92:F96"/>
    <mergeCell ref="G92:G96"/>
    <mergeCell ref="F67:F71"/>
    <mergeCell ref="F72:F76"/>
    <mergeCell ref="F77:F81"/>
    <mergeCell ref="F82:F86"/>
    <mergeCell ref="G82:G86"/>
    <mergeCell ref="F87:F91"/>
    <mergeCell ref="G87:G91"/>
    <mergeCell ref="G72:G76"/>
    <mergeCell ref="G77:G81"/>
    <mergeCell ref="G62:G66"/>
    <mergeCell ref="G67:G71"/>
    <mergeCell ref="G37:G41"/>
    <mergeCell ref="G42:G46"/>
    <mergeCell ref="G47:G51"/>
    <mergeCell ref="G52:G56"/>
    <mergeCell ref="G57:G61"/>
  </mergeCells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1000"/>
  <sheetViews>
    <sheetView workbookViewId="0">
      <pane ySplit="1" topLeftCell="A2" activePane="bottomLeft" state="frozen"/>
      <selection pane="bottomLeft" activeCell="H3" sqref="H3"/>
    </sheetView>
  </sheetViews>
  <sheetFormatPr defaultColWidth="14.3984375" defaultRowHeight="15" customHeight="1" x14ac:dyDescent="0.3"/>
  <cols>
    <col min="1" max="1" width="10" customWidth="1"/>
    <col min="2" max="2" width="5" customWidth="1"/>
    <col min="3" max="3" width="28" customWidth="1"/>
    <col min="4" max="4" width="14" customWidth="1"/>
    <col min="5" max="5" width="22" customWidth="1"/>
    <col min="6" max="6" width="28" customWidth="1"/>
    <col min="7" max="7" width="16" customWidth="1"/>
    <col min="8" max="8" width="28" customWidth="1"/>
    <col min="9" max="9" width="16" customWidth="1"/>
    <col min="10" max="11" width="12" customWidth="1"/>
    <col min="12" max="12" width="11" customWidth="1"/>
    <col min="13" max="13" width="12" style="68" customWidth="1"/>
    <col min="14" max="14" width="11" customWidth="1"/>
    <col min="15" max="16" width="12" customWidth="1"/>
    <col min="17" max="17" width="10" customWidth="1"/>
    <col min="18" max="18" width="11" customWidth="1"/>
    <col min="19" max="19" width="10" customWidth="1"/>
    <col min="20" max="20" width="11" customWidth="1"/>
    <col min="21" max="22" width="12" customWidth="1"/>
    <col min="23" max="26" width="8.69921875" customWidth="1"/>
    <col min="30" max="30" width="24.8984375" bestFit="1" customWidth="1"/>
  </cols>
  <sheetData>
    <row r="1" spans="1:30" ht="39.75" customHeight="1" thickBot="1" x14ac:dyDescent="0.35">
      <c r="A1" s="8" t="s">
        <v>28</v>
      </c>
      <c r="B1" s="8" t="s">
        <v>37</v>
      </c>
      <c r="C1" s="8" t="s">
        <v>2</v>
      </c>
      <c r="D1" s="8" t="s">
        <v>0</v>
      </c>
      <c r="E1" s="8" t="s">
        <v>4</v>
      </c>
      <c r="F1" s="8" t="s">
        <v>5</v>
      </c>
      <c r="G1" s="8" t="s">
        <v>57</v>
      </c>
      <c r="H1" s="8" t="s">
        <v>59</v>
      </c>
      <c r="I1" s="8" t="s">
        <v>61</v>
      </c>
      <c r="J1" s="8" t="s">
        <v>41</v>
      </c>
      <c r="K1" s="8" t="s">
        <v>45</v>
      </c>
      <c r="L1" s="8" t="s">
        <v>47</v>
      </c>
      <c r="M1" s="70" t="s">
        <v>49</v>
      </c>
      <c r="N1" s="8" t="s">
        <v>63</v>
      </c>
      <c r="O1" s="10" t="s">
        <v>29</v>
      </c>
      <c r="P1" s="8" t="s">
        <v>66</v>
      </c>
      <c r="Q1" s="8" t="s">
        <v>68</v>
      </c>
      <c r="R1" s="8" t="s">
        <v>69</v>
      </c>
      <c r="S1" s="8" t="s">
        <v>71</v>
      </c>
      <c r="T1" s="8" t="s">
        <v>73</v>
      </c>
      <c r="U1" s="8" t="s">
        <v>74</v>
      </c>
      <c r="V1" s="8" t="s">
        <v>75</v>
      </c>
    </row>
    <row r="2" spans="1:30" ht="15.7" customHeight="1" thickBot="1" x14ac:dyDescent="0.45">
      <c r="A2" s="87" t="s">
        <v>54</v>
      </c>
      <c r="B2" s="13">
        <v>1</v>
      </c>
      <c r="C2" s="14" t="s">
        <v>65</v>
      </c>
      <c r="D2" s="13" t="s">
        <v>67</v>
      </c>
      <c r="E2" s="13" t="s">
        <v>81</v>
      </c>
      <c r="F2" s="13" t="s">
        <v>83</v>
      </c>
      <c r="G2" s="13" t="s">
        <v>84</v>
      </c>
      <c r="H2" s="13" t="s">
        <v>85</v>
      </c>
      <c r="I2" s="86" t="s">
        <v>87</v>
      </c>
      <c r="J2" s="16">
        <f>IFERROR(_xlfn.XLOOKUP(D2, Project_Scores!$D:$D, Project_Scores!$E:$E, 0), 0)</f>
        <v>0</v>
      </c>
      <c r="K2" s="90">
        <f>IFERROR(_xlfn.XLOOKUP(D2, Project_Scores!$D:$D, Project_Scores!$F:$F, 0), 0)</f>
        <v>0</v>
      </c>
      <c r="L2" s="90">
        <f>IFERROR(_xlfn.XLOOKUP(D2, Project_Scores!$D:$D, Project_Scores!$G:$G, 0), 0)</f>
        <v>0</v>
      </c>
      <c r="M2" s="71">
        <f>SUM(K2,L2,J2)</f>
        <v>0</v>
      </c>
      <c r="N2" s="22">
        <f>IFERROR(VLOOKUP(D2,Source_Grades!$A:$N,13,FALSE()),0)</f>
        <v>125</v>
      </c>
      <c r="O2" s="23">
        <f>IFERROR(VLOOKUP(D2,Source_Grades!$A:$V,22,FALSE())*100,0)</f>
        <v>83.333333333333343</v>
      </c>
      <c r="P2" s="27">
        <f>IFERROR(VLOOKUP(D2,Source_Grades!$A:$Z,25,FALSE())*20,0)</f>
        <v>100</v>
      </c>
      <c r="Q2" s="27">
        <f t="shared" ref="Q2:Q164" si="0">IF(N2=0,0,N2/135*100)</f>
        <v>92.592592592592595</v>
      </c>
      <c r="R2" s="27">
        <f t="shared" ref="R2:R164" si="1">O2</f>
        <v>83.333333333333343</v>
      </c>
      <c r="S2" s="27">
        <f t="shared" ref="S2:S164" si="2">IF(M2="",0,M2/145*100)</f>
        <v>0</v>
      </c>
      <c r="T2" s="34">
        <f t="shared" ref="T2:T164" si="3">Q2*0.2 + R2*0.3 + S2*0.5</f>
        <v>43.518518518518519</v>
      </c>
      <c r="U2" s="36" t="str">
        <f t="shared" ref="U2:U164" si="4">IF(R2&gt;=60,"نعم","لا")</f>
        <v>نعم</v>
      </c>
      <c r="V2" s="37" t="str">
        <f t="shared" ref="V2:V164" si="5">IF(AND(T2&gt;60,R2&gt;=60),"ناجح","لم ينجح")</f>
        <v>لم ينجح</v>
      </c>
    </row>
    <row r="3" spans="1:30" ht="15.7" customHeight="1" thickBot="1" x14ac:dyDescent="0.45">
      <c r="A3" s="78"/>
      <c r="B3" s="38">
        <v>2</v>
      </c>
      <c r="C3" s="39" t="s">
        <v>90</v>
      </c>
      <c r="D3" s="38" t="s">
        <v>92</v>
      </c>
      <c r="E3" s="38" t="s">
        <v>81</v>
      </c>
      <c r="F3" s="38" t="s">
        <v>83</v>
      </c>
      <c r="G3" s="38" t="s">
        <v>151</v>
      </c>
      <c r="H3" s="38" t="s">
        <v>152</v>
      </c>
      <c r="I3" s="75"/>
      <c r="J3" s="42">
        <v>0</v>
      </c>
      <c r="K3" s="75"/>
      <c r="L3" s="75"/>
      <c r="M3" s="71">
        <f t="shared" ref="M3:M66" si="6">SUM(J3,K3,L3)</f>
        <v>0</v>
      </c>
      <c r="N3" s="44">
        <f>IFERROR(VLOOKUP(D3,Source_Grades!$A:$N,13,FALSE()),0)</f>
        <v>123</v>
      </c>
      <c r="O3" s="45">
        <f>IFERROR(VLOOKUP(D3,Source_Grades!$A:$V,22,FALSE())*100,0)</f>
        <v>83.333333333333343</v>
      </c>
      <c r="P3" s="46">
        <f>IFERROR(VLOOKUP(D3,Source_Grades!$A:$Z,25,FALSE())*20,0)</f>
        <v>100</v>
      </c>
      <c r="Q3" s="46">
        <f t="shared" si="0"/>
        <v>91.111111111111114</v>
      </c>
      <c r="R3" s="46">
        <f t="shared" si="1"/>
        <v>83.333333333333343</v>
      </c>
      <c r="S3" s="46">
        <f t="shared" si="2"/>
        <v>0</v>
      </c>
      <c r="T3" s="47">
        <f t="shared" si="3"/>
        <v>43.222222222222229</v>
      </c>
      <c r="U3" s="48" t="str">
        <f t="shared" si="4"/>
        <v>نعم</v>
      </c>
      <c r="V3" s="49" t="str">
        <f t="shared" si="5"/>
        <v>لم ينجح</v>
      </c>
      <c r="AA3" s="91" t="s">
        <v>1429</v>
      </c>
      <c r="AB3" s="91"/>
      <c r="AC3" s="91"/>
      <c r="AD3" s="91"/>
    </row>
    <row r="4" spans="1:30" ht="15.7" customHeight="1" thickBot="1" x14ac:dyDescent="0.45">
      <c r="A4" s="78"/>
      <c r="B4" s="38">
        <v>3</v>
      </c>
      <c r="C4" s="39" t="s">
        <v>97</v>
      </c>
      <c r="D4" s="38" t="s">
        <v>98</v>
      </c>
      <c r="E4" s="38" t="s">
        <v>81</v>
      </c>
      <c r="F4" s="38" t="s">
        <v>83</v>
      </c>
      <c r="G4" s="38" t="s">
        <v>213</v>
      </c>
      <c r="H4" s="38" t="s">
        <v>214</v>
      </c>
      <c r="I4" s="75"/>
      <c r="J4" s="42">
        <v>0</v>
      </c>
      <c r="K4" s="75"/>
      <c r="L4" s="75"/>
      <c r="M4" s="71">
        <f t="shared" si="6"/>
        <v>0</v>
      </c>
      <c r="N4" s="44">
        <f>IFERROR(VLOOKUP(D4,Source_Grades!$A:$N,13,FALSE()),0)</f>
        <v>105</v>
      </c>
      <c r="O4" s="45">
        <f>IFERROR(VLOOKUP(D4,Source_Grades!$A:$V,22,FALSE())*100,0)</f>
        <v>83.333333333333343</v>
      </c>
      <c r="P4" s="46">
        <f>IFERROR(VLOOKUP(D4,Source_Grades!$A:$Z,25,FALSE())*20,0)</f>
        <v>100</v>
      </c>
      <c r="Q4" s="46">
        <f t="shared" si="0"/>
        <v>77.777777777777786</v>
      </c>
      <c r="R4" s="46">
        <f t="shared" si="1"/>
        <v>83.333333333333343</v>
      </c>
      <c r="S4" s="46">
        <f t="shared" si="2"/>
        <v>0</v>
      </c>
      <c r="T4" s="47">
        <f t="shared" si="3"/>
        <v>40.555555555555557</v>
      </c>
      <c r="U4" s="48" t="str">
        <f t="shared" si="4"/>
        <v>نعم</v>
      </c>
      <c r="V4" s="49" t="str">
        <f t="shared" si="5"/>
        <v>لم ينجح</v>
      </c>
      <c r="AA4" s="91"/>
      <c r="AB4" s="91"/>
      <c r="AC4" s="91"/>
      <c r="AD4" s="91"/>
    </row>
    <row r="5" spans="1:30" ht="15.7" customHeight="1" thickBot="1" x14ac:dyDescent="0.45">
      <c r="A5" s="78"/>
      <c r="B5" s="38">
        <v>4</v>
      </c>
      <c r="C5" s="39" t="s">
        <v>107</v>
      </c>
      <c r="D5" s="38" t="s">
        <v>110</v>
      </c>
      <c r="E5" s="38" t="s">
        <v>81</v>
      </c>
      <c r="F5" s="38" t="s">
        <v>83</v>
      </c>
      <c r="G5" s="38" t="s">
        <v>234</v>
      </c>
      <c r="H5" s="38" t="s">
        <v>235</v>
      </c>
      <c r="I5" s="75"/>
      <c r="J5" s="42">
        <v>0</v>
      </c>
      <c r="K5" s="75"/>
      <c r="L5" s="75"/>
      <c r="M5" s="71">
        <f t="shared" si="6"/>
        <v>0</v>
      </c>
      <c r="N5" s="44">
        <f>IFERROR(VLOOKUP(D5,Source_Grades!$A:$N,13,FALSE()),0)</f>
        <v>103</v>
      </c>
      <c r="O5" s="45">
        <f>IFERROR(VLOOKUP(D5,Source_Grades!$A:$V,22,FALSE())*100,0)</f>
        <v>66.666666666666657</v>
      </c>
      <c r="P5" s="46">
        <f>IFERROR(VLOOKUP(D5,Source_Grades!$A:$Z,25,FALSE())*20,0)</f>
        <v>80</v>
      </c>
      <c r="Q5" s="46">
        <f t="shared" si="0"/>
        <v>76.296296296296291</v>
      </c>
      <c r="R5" s="46">
        <f t="shared" si="1"/>
        <v>66.666666666666657</v>
      </c>
      <c r="S5" s="46">
        <f t="shared" si="2"/>
        <v>0</v>
      </c>
      <c r="T5" s="47">
        <f t="shared" si="3"/>
        <v>35.259259259259252</v>
      </c>
      <c r="U5" s="48" t="str">
        <f t="shared" si="4"/>
        <v>نعم</v>
      </c>
      <c r="V5" s="49" t="str">
        <f t="shared" si="5"/>
        <v>لم ينجح</v>
      </c>
      <c r="AA5" s="69" t="s">
        <v>1425</v>
      </c>
      <c r="AB5" s="69" t="s">
        <v>1426</v>
      </c>
      <c r="AC5" s="69" t="s">
        <v>1427</v>
      </c>
      <c r="AD5" s="69" t="s">
        <v>1428</v>
      </c>
    </row>
    <row r="6" spans="1:30" ht="15.7" customHeight="1" thickBot="1" x14ac:dyDescent="0.45">
      <c r="A6" s="88"/>
      <c r="B6" s="50">
        <v>5</v>
      </c>
      <c r="C6" s="51" t="s">
        <v>114</v>
      </c>
      <c r="D6" s="50" t="s">
        <v>117</v>
      </c>
      <c r="E6" s="50" t="s">
        <v>81</v>
      </c>
      <c r="F6" s="50" t="s">
        <v>83</v>
      </c>
      <c r="G6" s="50" t="s">
        <v>149</v>
      </c>
      <c r="H6" s="50" t="s">
        <v>147</v>
      </c>
      <c r="I6" s="85"/>
      <c r="J6" s="52">
        <v>0</v>
      </c>
      <c r="K6" s="76"/>
      <c r="L6" s="76"/>
      <c r="M6" s="71">
        <f t="shared" si="6"/>
        <v>0</v>
      </c>
      <c r="N6" s="53">
        <f>IFERROR(VLOOKUP(D6,Source_Grades!$A:$N,13,FALSE()),0)</f>
        <v>106</v>
      </c>
      <c r="O6" s="54">
        <f>IFERROR(VLOOKUP(D6,Source_Grades!$A:$V,22,FALSE())*100,0)</f>
        <v>83.333333333333343</v>
      </c>
      <c r="P6" s="55">
        <f>IFERROR(VLOOKUP(D6,Source_Grades!$A:$Z,25,FALSE())*20,0)</f>
        <v>100</v>
      </c>
      <c r="Q6" s="55">
        <f t="shared" si="0"/>
        <v>78.518518518518519</v>
      </c>
      <c r="R6" s="55">
        <f t="shared" si="1"/>
        <v>83.333333333333343</v>
      </c>
      <c r="S6" s="55">
        <f t="shared" si="2"/>
        <v>0</v>
      </c>
      <c r="T6" s="56">
        <f t="shared" si="3"/>
        <v>40.703703703703709</v>
      </c>
      <c r="U6" s="57" t="str">
        <f t="shared" si="4"/>
        <v>نعم</v>
      </c>
      <c r="V6" s="58" t="str">
        <f t="shared" si="5"/>
        <v>لم ينجح</v>
      </c>
      <c r="AA6" t="str" cm="1">
        <f t="array" ref="AA6:AD15">_xlfn.LET(_xlpm.valid_rows, _xlfn._xlws.FILTER(ROW(2:300), A2:A300&lt;&gt;""), _xlpm.leader_ids, INDEX(D:D, _xlpm.valid_rows), _xlpm.supporters, INDEX(I:I, _xlpm.valid_rows), _xlpm.proj_scores, INDEX(M:M, _xlpm.valid_rows), _xlpm.indiv_totals, _xlfn.MAP(_xlpm.valid_rows, _xlfn.LAMBDA(_xlpm.r, SUM(_xlfn.MAP(_xlfn.CHOOSEROWS(D2:D300, _xlfn.SEQUENCE(IFERROR(INDEX(_xlpm.valid_rows, MATCH(_xlpm.r, _xlpm.valid_rows, 0)+1)-_xlpm.r, 301-_xlpm.r), 1, _xlpm.r-1)), _xlfn.LAMBDA(_xlpm.id, IFERROR(_xlfn.XLOOKUP(_xlpm.id, Source_Grades!A:A, Source_Grades!AA:AA, 0), 0)))))), _xlpm.sorted_data, _xlfn.SORTBY(_xlfn.HSTACK(_xlpm.leader_ids, _xlpm.supporters, _xlpm.proj_scores, _xlpm.indiv_totals), _xlpm.proj_scores, -1, _xlpm.indiv_totals, -1), _xlfn.TAKE(_xlpm.sorted_data, 10))</f>
        <v>2022170372</v>
      </c>
      <c r="AB6" t="str">
        <v xml:space="preserve">Abdelrahman Sanad     Yousif Ahmed </v>
      </c>
      <c r="AC6">
        <v>0</v>
      </c>
      <c r="AD6">
        <v>224</v>
      </c>
    </row>
    <row r="7" spans="1:30" ht="15.7" customHeight="1" thickBot="1" x14ac:dyDescent="0.45">
      <c r="A7" s="89" t="s">
        <v>123</v>
      </c>
      <c r="B7" s="59">
        <v>1</v>
      </c>
      <c r="C7" s="60" t="s">
        <v>124</v>
      </c>
      <c r="D7" s="59" t="s">
        <v>126</v>
      </c>
      <c r="E7" s="59" t="s">
        <v>81</v>
      </c>
      <c r="F7" s="59" t="s">
        <v>83</v>
      </c>
      <c r="G7" s="59" t="s">
        <v>246</v>
      </c>
      <c r="H7" s="59" t="s">
        <v>247</v>
      </c>
      <c r="I7" s="84" t="s">
        <v>248</v>
      </c>
      <c r="J7" s="16">
        <v>0</v>
      </c>
      <c r="K7" s="90">
        <f>IFERROR(_xlfn.XLOOKUP(D7, Project_Scores!$D:$D, Project_Scores!$F:$F, 0), 0)</f>
        <v>0</v>
      </c>
      <c r="L7" s="90">
        <f>IFERROR(_xlfn.XLOOKUP(D7, Project_Scores!$D:$D, Project_Scores!$G:$G, 0), 0)</f>
        <v>0</v>
      </c>
      <c r="M7" s="71">
        <f t="shared" si="6"/>
        <v>0</v>
      </c>
      <c r="N7" s="22">
        <f>IFERROR(VLOOKUP(D7,Source_Grades!$A:$N,13,FALSE()),0)</f>
        <v>116</v>
      </c>
      <c r="O7" s="23">
        <f>IFERROR(VLOOKUP(D7,Source_Grades!$A:$V,22,FALSE())*100,0)</f>
        <v>83.333333333333343</v>
      </c>
      <c r="P7" s="27">
        <f>IFERROR(VLOOKUP(D7,Source_Grades!$A:$Z,25,FALSE())*20,0)</f>
        <v>100</v>
      </c>
      <c r="Q7" s="27">
        <f t="shared" si="0"/>
        <v>85.925925925925924</v>
      </c>
      <c r="R7" s="27">
        <f t="shared" si="1"/>
        <v>83.333333333333343</v>
      </c>
      <c r="S7" s="27">
        <f t="shared" si="2"/>
        <v>0</v>
      </c>
      <c r="T7" s="34">
        <f t="shared" si="3"/>
        <v>42.18518518518519</v>
      </c>
      <c r="U7" s="36" t="str">
        <f t="shared" si="4"/>
        <v>نعم</v>
      </c>
      <c r="V7" s="37" t="str">
        <f t="shared" si="5"/>
        <v>لم ينجح</v>
      </c>
      <c r="AA7" t="str">
        <v>20251701124</v>
      </c>
      <c r="AB7" t="str">
        <v>Ahmed Ismail</v>
      </c>
      <c r="AC7">
        <v>0</v>
      </c>
      <c r="AD7">
        <v>212</v>
      </c>
    </row>
    <row r="8" spans="1:30" ht="15.7" customHeight="1" thickBot="1" x14ac:dyDescent="0.45">
      <c r="A8" s="78"/>
      <c r="B8" s="61">
        <v>2</v>
      </c>
      <c r="C8" s="62" t="s">
        <v>133</v>
      </c>
      <c r="D8" s="61" t="s">
        <v>134</v>
      </c>
      <c r="E8" s="61" t="s">
        <v>81</v>
      </c>
      <c r="F8" s="61" t="s">
        <v>83</v>
      </c>
      <c r="G8" s="61" t="s">
        <v>262</v>
      </c>
      <c r="H8" s="61" t="s">
        <v>263</v>
      </c>
      <c r="I8" s="75"/>
      <c r="J8" s="42">
        <v>0</v>
      </c>
      <c r="K8" s="75"/>
      <c r="L8" s="75"/>
      <c r="M8" s="71">
        <f t="shared" si="6"/>
        <v>0</v>
      </c>
      <c r="N8" s="44">
        <f>IFERROR(VLOOKUP(D8,Source_Grades!$A:$N,13,FALSE()),0)</f>
        <v>135</v>
      </c>
      <c r="O8" s="45">
        <f>IFERROR(VLOOKUP(D8,Source_Grades!$A:$V,22,FALSE())*100,0)</f>
        <v>83.333333333333343</v>
      </c>
      <c r="P8" s="46">
        <f>IFERROR(VLOOKUP(D8,Source_Grades!$A:$Z,25,FALSE())*20,0)</f>
        <v>100</v>
      </c>
      <c r="Q8" s="46">
        <f t="shared" si="0"/>
        <v>100</v>
      </c>
      <c r="R8" s="46">
        <f t="shared" si="1"/>
        <v>83.333333333333343</v>
      </c>
      <c r="S8" s="46">
        <f t="shared" si="2"/>
        <v>0</v>
      </c>
      <c r="T8" s="47">
        <f t="shared" si="3"/>
        <v>45</v>
      </c>
      <c r="U8" s="48" t="str">
        <f t="shared" si="4"/>
        <v>نعم</v>
      </c>
      <c r="V8" s="49" t="str">
        <f t="shared" si="5"/>
        <v>لم ينجح</v>
      </c>
      <c r="AA8" t="str">
        <v>20241700920</v>
      </c>
      <c r="AB8" t="str">
        <v>Nour gad</v>
      </c>
      <c r="AC8">
        <v>0</v>
      </c>
      <c r="AD8">
        <v>199</v>
      </c>
    </row>
    <row r="9" spans="1:30" ht="15.7" customHeight="1" thickBot="1" x14ac:dyDescent="0.45">
      <c r="A9" s="78"/>
      <c r="B9" s="61">
        <v>3</v>
      </c>
      <c r="C9" s="62" t="s">
        <v>142</v>
      </c>
      <c r="D9" s="61" t="s">
        <v>143</v>
      </c>
      <c r="E9" s="61" t="s">
        <v>81</v>
      </c>
      <c r="F9" s="61" t="s">
        <v>83</v>
      </c>
      <c r="G9" s="61" t="s">
        <v>271</v>
      </c>
      <c r="H9" s="61" t="s">
        <v>272</v>
      </c>
      <c r="I9" s="75"/>
      <c r="J9" s="42">
        <v>0</v>
      </c>
      <c r="K9" s="75"/>
      <c r="L9" s="75"/>
      <c r="M9" s="71">
        <f t="shared" si="6"/>
        <v>0</v>
      </c>
      <c r="N9" s="44">
        <f>IFERROR(VLOOKUP(D9,Source_Grades!$A:$N,13,FALSE()),0)</f>
        <v>119</v>
      </c>
      <c r="O9" s="45">
        <f>IFERROR(VLOOKUP(D9,Source_Grades!$A:$V,22,FALSE())*100,0)</f>
        <v>83.333333333333343</v>
      </c>
      <c r="P9" s="46">
        <f>IFERROR(VLOOKUP(D9,Source_Grades!$A:$Z,25,FALSE())*20,0)</f>
        <v>100</v>
      </c>
      <c r="Q9" s="46">
        <f t="shared" si="0"/>
        <v>88.148148148148152</v>
      </c>
      <c r="R9" s="46">
        <f t="shared" si="1"/>
        <v>83.333333333333343</v>
      </c>
      <c r="S9" s="46">
        <f t="shared" si="2"/>
        <v>0</v>
      </c>
      <c r="T9" s="47">
        <f t="shared" si="3"/>
        <v>42.629629629629633</v>
      </c>
      <c r="U9" s="48" t="str">
        <f t="shared" si="4"/>
        <v>نعم</v>
      </c>
      <c r="V9" s="49" t="str">
        <f t="shared" si="5"/>
        <v>لم ينجح</v>
      </c>
      <c r="AA9" t="str">
        <v>20241700089</v>
      </c>
      <c r="AB9" t="str">
        <v>Belal</v>
      </c>
      <c r="AC9">
        <v>0</v>
      </c>
      <c r="AD9">
        <v>189</v>
      </c>
    </row>
    <row r="10" spans="1:30" ht="15.7" customHeight="1" thickBot="1" x14ac:dyDescent="0.45">
      <c r="A10" s="78"/>
      <c r="B10" s="61">
        <v>4</v>
      </c>
      <c r="C10" s="62" t="s">
        <v>144</v>
      </c>
      <c r="D10" s="61" t="s">
        <v>145</v>
      </c>
      <c r="E10" s="61" t="s">
        <v>81</v>
      </c>
      <c r="F10" s="61" t="s">
        <v>83</v>
      </c>
      <c r="G10" s="61" t="s">
        <v>159</v>
      </c>
      <c r="H10" s="61" t="s">
        <v>157</v>
      </c>
      <c r="I10" s="75"/>
      <c r="J10" s="42">
        <v>0</v>
      </c>
      <c r="K10" s="75"/>
      <c r="L10" s="75"/>
      <c r="M10" s="71">
        <f t="shared" si="6"/>
        <v>0</v>
      </c>
      <c r="N10" s="44">
        <f>IFERROR(VLOOKUP(D10,Source_Grades!$A:$N,13,FALSE()),0)</f>
        <v>95</v>
      </c>
      <c r="O10" s="45">
        <f>IFERROR(VLOOKUP(D10,Source_Grades!$A:$V,22,FALSE())*100,0)</f>
        <v>66.666666666666657</v>
      </c>
      <c r="P10" s="46">
        <f>IFERROR(VLOOKUP(D10,Source_Grades!$A:$Z,25,FALSE())*20,0)</f>
        <v>80</v>
      </c>
      <c r="Q10" s="46">
        <f t="shared" si="0"/>
        <v>70.370370370370367</v>
      </c>
      <c r="R10" s="46">
        <f t="shared" si="1"/>
        <v>66.666666666666657</v>
      </c>
      <c r="S10" s="46">
        <f t="shared" si="2"/>
        <v>0</v>
      </c>
      <c r="T10" s="47">
        <f t="shared" si="3"/>
        <v>34.074074074074069</v>
      </c>
      <c r="U10" s="48" t="str">
        <f t="shared" si="4"/>
        <v>نعم</v>
      </c>
      <c r="V10" s="49" t="str">
        <f t="shared" si="5"/>
        <v>لم ينجح</v>
      </c>
      <c r="AA10" t="str">
        <v>20251700957</v>
      </c>
      <c r="AB10" t="str">
        <v>Ibrahim yousry</v>
      </c>
      <c r="AC10">
        <v>0</v>
      </c>
      <c r="AD10">
        <v>189</v>
      </c>
    </row>
    <row r="11" spans="1:30" ht="15.7" customHeight="1" thickBot="1" x14ac:dyDescent="0.45">
      <c r="A11" s="88"/>
      <c r="B11" s="63">
        <v>5</v>
      </c>
      <c r="C11" s="64" t="s">
        <v>153</v>
      </c>
      <c r="D11" s="63" t="s">
        <v>154</v>
      </c>
      <c r="E11" s="63" t="s">
        <v>81</v>
      </c>
      <c r="F11" s="63" t="s">
        <v>83</v>
      </c>
      <c r="G11" s="63" t="s">
        <v>290</v>
      </c>
      <c r="H11" s="63" t="s">
        <v>291</v>
      </c>
      <c r="I11" s="85"/>
      <c r="J11" s="52">
        <v>0</v>
      </c>
      <c r="K11" s="76"/>
      <c r="L11" s="76"/>
      <c r="M11" s="71">
        <f t="shared" si="6"/>
        <v>0</v>
      </c>
      <c r="N11" s="53">
        <f>IFERROR(VLOOKUP(D11,Source_Grades!$A:$N,13,FALSE()),0)</f>
        <v>94</v>
      </c>
      <c r="O11" s="54">
        <f>IFERROR(VLOOKUP(D11,Source_Grades!$A:$V,22,FALSE())*100,0)</f>
        <v>33.333333333333329</v>
      </c>
      <c r="P11" s="55">
        <f>IFERROR(VLOOKUP(D11,Source_Grades!$A:$Z,25,FALSE())*20,0)</f>
        <v>40</v>
      </c>
      <c r="Q11" s="55">
        <f t="shared" si="0"/>
        <v>69.629629629629633</v>
      </c>
      <c r="R11" s="55">
        <f t="shared" si="1"/>
        <v>33.333333333333329</v>
      </c>
      <c r="S11" s="55">
        <f t="shared" si="2"/>
        <v>0</v>
      </c>
      <c r="T11" s="56">
        <f t="shared" si="3"/>
        <v>23.925925925925924</v>
      </c>
      <c r="U11" s="57" t="str">
        <f t="shared" si="4"/>
        <v>لا</v>
      </c>
      <c r="V11" s="58" t="str">
        <f t="shared" si="5"/>
        <v>لم ينجح</v>
      </c>
      <c r="AA11" t="str">
        <v>2023170036</v>
      </c>
      <c r="AB11" t="str">
        <v>Yousif Ahmed</v>
      </c>
      <c r="AC11">
        <v>0</v>
      </c>
      <c r="AD11">
        <v>188</v>
      </c>
    </row>
    <row r="12" spans="1:30" ht="15.7" customHeight="1" thickBot="1" x14ac:dyDescent="0.45">
      <c r="A12" s="87" t="s">
        <v>161</v>
      </c>
      <c r="B12" s="13">
        <v>1</v>
      </c>
      <c r="C12" s="14" t="s">
        <v>163</v>
      </c>
      <c r="D12" s="13" t="s">
        <v>115</v>
      </c>
      <c r="E12" s="13" t="s">
        <v>81</v>
      </c>
      <c r="F12" s="13" t="s">
        <v>83</v>
      </c>
      <c r="G12" s="13" t="s">
        <v>121</v>
      </c>
      <c r="H12" s="13" t="s">
        <v>119</v>
      </c>
      <c r="I12" s="86" t="s">
        <v>307</v>
      </c>
      <c r="J12" s="16">
        <v>0</v>
      </c>
      <c r="K12" s="90">
        <f>IFERROR(_xlfn.XLOOKUP(D12, Project_Scores!$D:$D, Project_Scores!$F:$F, 0), 0)</f>
        <v>0</v>
      </c>
      <c r="L12" s="90">
        <f>IFERROR(_xlfn.XLOOKUP(D12, Project_Scores!$D:$D, Project_Scores!$G:$G, 0), 0)</f>
        <v>0</v>
      </c>
      <c r="M12" s="71">
        <f t="shared" si="6"/>
        <v>0</v>
      </c>
      <c r="N12" s="22">
        <f>IFERROR(VLOOKUP(D12,Source_Grades!$A:$N,13,FALSE()),0)</f>
        <v>77</v>
      </c>
      <c r="O12" s="23">
        <f>IFERROR(VLOOKUP(D12,Source_Grades!$A:$V,22,FALSE())*100,0)</f>
        <v>83.333333333333343</v>
      </c>
      <c r="P12" s="27">
        <f>IFERROR(VLOOKUP(D12,Source_Grades!$A:$Z,25,FALSE())*20,0)</f>
        <v>100</v>
      </c>
      <c r="Q12" s="27">
        <f t="shared" si="0"/>
        <v>57.037037037037038</v>
      </c>
      <c r="R12" s="27">
        <f t="shared" si="1"/>
        <v>83.333333333333343</v>
      </c>
      <c r="S12" s="27">
        <f t="shared" si="2"/>
        <v>0</v>
      </c>
      <c r="T12" s="34">
        <f t="shared" si="3"/>
        <v>36.407407407407412</v>
      </c>
      <c r="U12" s="36" t="str">
        <f t="shared" si="4"/>
        <v>نعم</v>
      </c>
      <c r="V12" s="37" t="str">
        <f t="shared" si="5"/>
        <v>لم ينجح</v>
      </c>
      <c r="AA12" t="str">
        <v>20251700588</v>
      </c>
      <c r="AB12" t="str">
        <v>Nour gad</v>
      </c>
      <c r="AC12">
        <v>0</v>
      </c>
      <c r="AD12">
        <v>186</v>
      </c>
    </row>
    <row r="13" spans="1:30" ht="15.7" customHeight="1" thickBot="1" x14ac:dyDescent="0.45">
      <c r="A13" s="78"/>
      <c r="B13" s="38">
        <v>2</v>
      </c>
      <c r="C13" s="39" t="s">
        <v>168</v>
      </c>
      <c r="D13" s="38" t="s">
        <v>170</v>
      </c>
      <c r="E13" s="38" t="s">
        <v>81</v>
      </c>
      <c r="F13" s="38" t="s">
        <v>83</v>
      </c>
      <c r="G13" s="38" t="s">
        <v>324</v>
      </c>
      <c r="H13" s="38" t="s">
        <v>326</v>
      </c>
      <c r="I13" s="75"/>
      <c r="J13" s="42">
        <v>0</v>
      </c>
      <c r="K13" s="75"/>
      <c r="L13" s="75"/>
      <c r="M13" s="71">
        <f t="shared" si="6"/>
        <v>0</v>
      </c>
      <c r="N13" s="44">
        <f>IFERROR(VLOOKUP(D13,Source_Grades!$A:$N,13,FALSE()),0)</f>
        <v>100</v>
      </c>
      <c r="O13" s="45">
        <f>IFERROR(VLOOKUP(D13,Source_Grades!$A:$V,22,FALSE())*100,0)</f>
        <v>83.333333333333343</v>
      </c>
      <c r="P13" s="46">
        <f>IFERROR(VLOOKUP(D13,Source_Grades!$A:$Z,25,FALSE())*20,0)</f>
        <v>100</v>
      </c>
      <c r="Q13" s="46">
        <f t="shared" si="0"/>
        <v>74.074074074074076</v>
      </c>
      <c r="R13" s="46">
        <f t="shared" si="1"/>
        <v>83.333333333333343</v>
      </c>
      <c r="S13" s="46">
        <f t="shared" si="2"/>
        <v>0</v>
      </c>
      <c r="T13" s="47">
        <f t="shared" si="3"/>
        <v>39.814814814814824</v>
      </c>
      <c r="U13" s="48" t="str">
        <f t="shared" si="4"/>
        <v>نعم</v>
      </c>
      <c r="V13" s="49" t="str">
        <f t="shared" si="5"/>
        <v>لم ينجح</v>
      </c>
      <c r="AA13" t="str">
        <v>20241701016</v>
      </c>
      <c r="AB13" t="str">
        <v>Shreif</v>
      </c>
      <c r="AC13">
        <v>0</v>
      </c>
      <c r="AD13">
        <v>184.5</v>
      </c>
    </row>
    <row r="14" spans="1:30" ht="15.7" customHeight="1" thickBot="1" x14ac:dyDescent="0.45">
      <c r="A14" s="78"/>
      <c r="B14" s="38">
        <v>3</v>
      </c>
      <c r="C14" s="39" t="s">
        <v>172</v>
      </c>
      <c r="D14" s="38" t="s">
        <v>173</v>
      </c>
      <c r="E14" s="38" t="s">
        <v>81</v>
      </c>
      <c r="F14" s="38" t="s">
        <v>83</v>
      </c>
      <c r="G14" s="38" t="s">
        <v>338</v>
      </c>
      <c r="H14" s="38" t="s">
        <v>339</v>
      </c>
      <c r="I14" s="75"/>
      <c r="J14" s="42">
        <v>0</v>
      </c>
      <c r="K14" s="75"/>
      <c r="L14" s="75"/>
      <c r="M14" s="71">
        <f t="shared" si="6"/>
        <v>0</v>
      </c>
      <c r="N14" s="44">
        <f>IFERROR(VLOOKUP(D14,Source_Grades!$A:$N,13,FALSE()),0)</f>
        <v>92</v>
      </c>
      <c r="O14" s="45">
        <f>IFERROR(VLOOKUP(D14,Source_Grades!$A:$V,22,FALSE())*100,0)</f>
        <v>83.333333333333343</v>
      </c>
      <c r="P14" s="46">
        <f>IFERROR(VLOOKUP(D14,Source_Grades!$A:$Z,25,FALSE())*20,0)</f>
        <v>100</v>
      </c>
      <c r="Q14" s="46">
        <f t="shared" si="0"/>
        <v>68.148148148148152</v>
      </c>
      <c r="R14" s="46">
        <f t="shared" si="1"/>
        <v>83.333333333333343</v>
      </c>
      <c r="S14" s="46">
        <f t="shared" si="2"/>
        <v>0</v>
      </c>
      <c r="T14" s="47">
        <f t="shared" si="3"/>
        <v>38.629629629629633</v>
      </c>
      <c r="U14" s="48" t="str">
        <f t="shared" si="4"/>
        <v>نعم</v>
      </c>
      <c r="V14" s="49" t="str">
        <f t="shared" si="5"/>
        <v>لم ينجح</v>
      </c>
      <c r="AA14" t="str">
        <v>20241701056</v>
      </c>
      <c r="AB14" t="str">
        <v>Mohamed Taher</v>
      </c>
      <c r="AC14">
        <v>0</v>
      </c>
      <c r="AD14">
        <v>183</v>
      </c>
    </row>
    <row r="15" spans="1:30" ht="15.7" customHeight="1" thickBot="1" x14ac:dyDescent="0.45">
      <c r="A15" s="78"/>
      <c r="B15" s="38">
        <v>4</v>
      </c>
      <c r="C15" s="39" t="s">
        <v>176</v>
      </c>
      <c r="D15" s="38" t="s">
        <v>178</v>
      </c>
      <c r="E15" s="38" t="s">
        <v>81</v>
      </c>
      <c r="F15" s="38" t="s">
        <v>83</v>
      </c>
      <c r="G15" s="38" t="s">
        <v>360</v>
      </c>
      <c r="H15" s="38" t="s">
        <v>361</v>
      </c>
      <c r="I15" s="75"/>
      <c r="J15" s="42">
        <v>0</v>
      </c>
      <c r="K15" s="75"/>
      <c r="L15" s="75"/>
      <c r="M15" s="71">
        <f t="shared" si="6"/>
        <v>0</v>
      </c>
      <c r="N15" s="44">
        <f>IFERROR(VLOOKUP(D15,Source_Grades!$A:$N,13,FALSE()),0)</f>
        <v>92</v>
      </c>
      <c r="O15" s="45">
        <f>IFERROR(VLOOKUP(D15,Source_Grades!$A:$V,22,FALSE())*100,0)</f>
        <v>83.333333333333343</v>
      </c>
      <c r="P15" s="46">
        <f>IFERROR(VLOOKUP(D15,Source_Grades!$A:$Z,25,FALSE())*20,0)</f>
        <v>100</v>
      </c>
      <c r="Q15" s="46">
        <f t="shared" si="0"/>
        <v>68.148148148148152</v>
      </c>
      <c r="R15" s="46">
        <f t="shared" si="1"/>
        <v>83.333333333333343</v>
      </c>
      <c r="S15" s="46">
        <f t="shared" si="2"/>
        <v>0</v>
      </c>
      <c r="T15" s="47">
        <f t="shared" si="3"/>
        <v>38.629629629629633</v>
      </c>
      <c r="U15" s="48" t="str">
        <f t="shared" si="4"/>
        <v>نعم</v>
      </c>
      <c r="V15" s="49" t="str">
        <f t="shared" si="5"/>
        <v>لم ينجح</v>
      </c>
      <c r="AA15" t="str">
        <v>20241701169</v>
      </c>
      <c r="AB15" t="str">
        <v>Shreif</v>
      </c>
      <c r="AC15">
        <v>0</v>
      </c>
      <c r="AD15">
        <v>178</v>
      </c>
    </row>
    <row r="16" spans="1:30" ht="15.7" customHeight="1" thickBot="1" x14ac:dyDescent="0.45">
      <c r="A16" s="88"/>
      <c r="B16" s="50">
        <v>5</v>
      </c>
      <c r="C16" s="51" t="s">
        <v>184</v>
      </c>
      <c r="D16" s="50" t="s">
        <v>185</v>
      </c>
      <c r="E16" s="50" t="s">
        <v>81</v>
      </c>
      <c r="F16" s="50" t="s">
        <v>374</v>
      </c>
      <c r="G16" s="50" t="s">
        <v>375</v>
      </c>
      <c r="H16" s="50" t="s">
        <v>376</v>
      </c>
      <c r="I16" s="85"/>
      <c r="J16" s="52">
        <v>0</v>
      </c>
      <c r="K16" s="76"/>
      <c r="L16" s="76"/>
      <c r="M16" s="71">
        <f t="shared" si="6"/>
        <v>0</v>
      </c>
      <c r="N16" s="53">
        <f>IFERROR(VLOOKUP(D16,Source_Grades!$A:$N,13,FALSE()),0)</f>
        <v>87.5</v>
      </c>
      <c r="O16" s="54">
        <f>IFERROR(VLOOKUP(D16,Source_Grades!$A:$V,22,FALSE())*100,0)</f>
        <v>83.333333333333343</v>
      </c>
      <c r="P16" s="55">
        <f>IFERROR(VLOOKUP(D16,Source_Grades!$A:$Z,25,FALSE())*20,0)</f>
        <v>100</v>
      </c>
      <c r="Q16" s="55">
        <f t="shared" si="0"/>
        <v>64.81481481481481</v>
      </c>
      <c r="R16" s="55">
        <f t="shared" si="1"/>
        <v>83.333333333333343</v>
      </c>
      <c r="S16" s="55">
        <f t="shared" si="2"/>
        <v>0</v>
      </c>
      <c r="T16" s="56">
        <f t="shared" si="3"/>
        <v>37.962962962962962</v>
      </c>
      <c r="U16" s="57" t="str">
        <f t="shared" si="4"/>
        <v>نعم</v>
      </c>
      <c r="V16" s="58" t="str">
        <f t="shared" si="5"/>
        <v>لم ينجح</v>
      </c>
    </row>
    <row r="17" spans="1:22" ht="15.7" customHeight="1" thickBot="1" x14ac:dyDescent="0.45">
      <c r="A17" s="89" t="s">
        <v>190</v>
      </c>
      <c r="B17" s="59">
        <v>1</v>
      </c>
      <c r="C17" s="60" t="s">
        <v>193</v>
      </c>
      <c r="D17" s="59" t="s">
        <v>194</v>
      </c>
      <c r="E17" s="59" t="s">
        <v>81</v>
      </c>
      <c r="F17" s="59" t="s">
        <v>83</v>
      </c>
      <c r="G17" s="59" t="s">
        <v>335</v>
      </c>
      <c r="H17" s="59" t="s">
        <v>333</v>
      </c>
      <c r="I17" s="84" t="s">
        <v>392</v>
      </c>
      <c r="J17" s="16">
        <v>0</v>
      </c>
      <c r="K17" s="90">
        <f>IFERROR(_xlfn.XLOOKUP(D17, Project_Scores!$D:$D, Project_Scores!$F:$F, 0), 0)</f>
        <v>0</v>
      </c>
      <c r="L17" s="90">
        <f>IFERROR(_xlfn.XLOOKUP(D17, Project_Scores!$D:$D, Project_Scores!$G:$G, 0), 0)</f>
        <v>0</v>
      </c>
      <c r="M17" s="71">
        <f t="shared" si="6"/>
        <v>0</v>
      </c>
      <c r="N17" s="22">
        <f>IFERROR(VLOOKUP(D17,Source_Grades!$A:$N,13,FALSE()),0)</f>
        <v>137</v>
      </c>
      <c r="O17" s="23">
        <f>IFERROR(VLOOKUP(D17,Source_Grades!$A:$V,22,FALSE())*100,0)</f>
        <v>83.333333333333343</v>
      </c>
      <c r="P17" s="27">
        <f>IFERROR(VLOOKUP(D17,Source_Grades!$A:$Z,25,FALSE())*20,0)</f>
        <v>100</v>
      </c>
      <c r="Q17" s="27">
        <f t="shared" si="0"/>
        <v>101.48148148148148</v>
      </c>
      <c r="R17" s="27">
        <f t="shared" si="1"/>
        <v>83.333333333333343</v>
      </c>
      <c r="S17" s="27">
        <f t="shared" si="2"/>
        <v>0</v>
      </c>
      <c r="T17" s="34">
        <f t="shared" si="3"/>
        <v>45.296296296296305</v>
      </c>
      <c r="U17" s="36" t="str">
        <f t="shared" si="4"/>
        <v>نعم</v>
      </c>
      <c r="V17" s="37" t="str">
        <f t="shared" si="5"/>
        <v>لم ينجح</v>
      </c>
    </row>
    <row r="18" spans="1:22" ht="15.7" customHeight="1" thickBot="1" x14ac:dyDescent="0.45">
      <c r="A18" s="78"/>
      <c r="B18" s="61">
        <v>2</v>
      </c>
      <c r="C18" s="62" t="s">
        <v>200</v>
      </c>
      <c r="D18" s="61" t="s">
        <v>201</v>
      </c>
      <c r="E18" s="61" t="s">
        <v>81</v>
      </c>
      <c r="F18" s="61" t="s">
        <v>83</v>
      </c>
      <c r="G18" s="61" t="s">
        <v>406</v>
      </c>
      <c r="H18" s="61" t="s">
        <v>407</v>
      </c>
      <c r="I18" s="75"/>
      <c r="J18" s="42">
        <v>0</v>
      </c>
      <c r="K18" s="75"/>
      <c r="L18" s="75"/>
      <c r="M18" s="71">
        <f t="shared" si="6"/>
        <v>0</v>
      </c>
      <c r="N18" s="44">
        <f>IFERROR(VLOOKUP(D18,Source_Grades!$A:$N,13,FALSE()),0)</f>
        <v>122.5</v>
      </c>
      <c r="O18" s="45">
        <f>IFERROR(VLOOKUP(D18,Source_Grades!$A:$V,22,FALSE())*100,0)</f>
        <v>83.333333333333343</v>
      </c>
      <c r="P18" s="46">
        <f>IFERROR(VLOOKUP(D18,Source_Grades!$A:$Z,25,FALSE())*20,0)</f>
        <v>100</v>
      </c>
      <c r="Q18" s="46">
        <f t="shared" si="0"/>
        <v>90.740740740740748</v>
      </c>
      <c r="R18" s="46">
        <f t="shared" si="1"/>
        <v>83.333333333333343</v>
      </c>
      <c r="S18" s="46">
        <f t="shared" si="2"/>
        <v>0</v>
      </c>
      <c r="T18" s="47">
        <f t="shared" si="3"/>
        <v>43.148148148148152</v>
      </c>
      <c r="U18" s="48" t="str">
        <f t="shared" si="4"/>
        <v>نعم</v>
      </c>
      <c r="V18" s="49" t="str">
        <f t="shared" si="5"/>
        <v>لم ينجح</v>
      </c>
    </row>
    <row r="19" spans="1:22" ht="15.7" customHeight="1" thickBot="1" x14ac:dyDescent="0.45">
      <c r="A19" s="78"/>
      <c r="B19" s="61">
        <v>3</v>
      </c>
      <c r="C19" s="62" t="s">
        <v>209</v>
      </c>
      <c r="D19" s="61" t="s">
        <v>210</v>
      </c>
      <c r="E19" s="61" t="s">
        <v>437</v>
      </c>
      <c r="F19" s="61" t="s">
        <v>439</v>
      </c>
      <c r="G19" s="61" t="s">
        <v>441</v>
      </c>
      <c r="H19" s="61" t="s">
        <v>442</v>
      </c>
      <c r="I19" s="75"/>
      <c r="J19" s="42">
        <v>0</v>
      </c>
      <c r="K19" s="75"/>
      <c r="L19" s="75"/>
      <c r="M19" s="71">
        <f t="shared" si="6"/>
        <v>0</v>
      </c>
      <c r="N19" s="44">
        <f>IFERROR(VLOOKUP(D19,Source_Grades!$A:$N,13,FALSE()),0)</f>
        <v>134</v>
      </c>
      <c r="O19" s="45">
        <f>IFERROR(VLOOKUP(D19,Source_Grades!$A:$V,22,FALSE())*100,0)</f>
        <v>83.333333333333343</v>
      </c>
      <c r="P19" s="46">
        <f>IFERROR(VLOOKUP(D19,Source_Grades!$A:$Z,25,FALSE())*20,0)</f>
        <v>100</v>
      </c>
      <c r="Q19" s="46">
        <f t="shared" si="0"/>
        <v>99.259259259259252</v>
      </c>
      <c r="R19" s="46">
        <f t="shared" si="1"/>
        <v>83.333333333333343</v>
      </c>
      <c r="S19" s="46">
        <f t="shared" si="2"/>
        <v>0</v>
      </c>
      <c r="T19" s="47">
        <f t="shared" si="3"/>
        <v>44.851851851851855</v>
      </c>
      <c r="U19" s="48" t="str">
        <f t="shared" si="4"/>
        <v>نعم</v>
      </c>
      <c r="V19" s="49" t="str">
        <f t="shared" si="5"/>
        <v>لم ينجح</v>
      </c>
    </row>
    <row r="20" spans="1:22" ht="15.7" customHeight="1" thickBot="1" x14ac:dyDescent="0.45">
      <c r="A20" s="78"/>
      <c r="B20" s="61">
        <v>4</v>
      </c>
      <c r="C20" s="62" t="s">
        <v>220</v>
      </c>
      <c r="D20" s="61" t="s">
        <v>221</v>
      </c>
      <c r="E20" s="61" t="s">
        <v>81</v>
      </c>
      <c r="F20" s="61" t="s">
        <v>83</v>
      </c>
      <c r="G20" s="61" t="s">
        <v>456</v>
      </c>
      <c r="H20" s="61" t="s">
        <v>454</v>
      </c>
      <c r="I20" s="75"/>
      <c r="J20" s="42">
        <v>0</v>
      </c>
      <c r="K20" s="75"/>
      <c r="L20" s="75"/>
      <c r="M20" s="71">
        <f t="shared" si="6"/>
        <v>0</v>
      </c>
      <c r="N20" s="44">
        <f>IFERROR(VLOOKUP(D20,Source_Grades!$A:$N,13,FALSE()),0)</f>
        <v>101</v>
      </c>
      <c r="O20" s="45">
        <f>IFERROR(VLOOKUP(D20,Source_Grades!$A:$V,22,FALSE())*100,0)</f>
        <v>83.333333333333343</v>
      </c>
      <c r="P20" s="46">
        <f>IFERROR(VLOOKUP(D20,Source_Grades!$A:$Z,25,FALSE())*20,0)</f>
        <v>100</v>
      </c>
      <c r="Q20" s="46">
        <f t="shared" si="0"/>
        <v>74.81481481481481</v>
      </c>
      <c r="R20" s="46">
        <f t="shared" si="1"/>
        <v>83.333333333333343</v>
      </c>
      <c r="S20" s="46">
        <f t="shared" si="2"/>
        <v>0</v>
      </c>
      <c r="T20" s="47">
        <f t="shared" si="3"/>
        <v>39.962962962962962</v>
      </c>
      <c r="U20" s="48" t="str">
        <f t="shared" si="4"/>
        <v>نعم</v>
      </c>
      <c r="V20" s="49" t="str">
        <f t="shared" si="5"/>
        <v>لم ينجح</v>
      </c>
    </row>
    <row r="21" spans="1:22" ht="15.7" customHeight="1" thickBot="1" x14ac:dyDescent="0.45">
      <c r="A21" s="88"/>
      <c r="B21" s="63">
        <v>5</v>
      </c>
      <c r="C21" s="64" t="s">
        <v>222</v>
      </c>
      <c r="D21" s="63" t="s">
        <v>223</v>
      </c>
      <c r="E21" s="63" t="s">
        <v>437</v>
      </c>
      <c r="F21" s="63" t="s">
        <v>439</v>
      </c>
      <c r="G21" s="63" t="s">
        <v>474</v>
      </c>
      <c r="H21" s="63" t="s">
        <v>476</v>
      </c>
      <c r="I21" s="85"/>
      <c r="J21" s="52">
        <v>0</v>
      </c>
      <c r="K21" s="76"/>
      <c r="L21" s="76"/>
      <c r="M21" s="71">
        <f t="shared" si="6"/>
        <v>0</v>
      </c>
      <c r="N21" s="53">
        <f>IFERROR(VLOOKUP(D21,Source_Grades!$A:$N,13,FALSE()),0)</f>
        <v>105</v>
      </c>
      <c r="O21" s="54">
        <f>IFERROR(VLOOKUP(D21,Source_Grades!$A:$V,22,FALSE())*100,0)</f>
        <v>83.333333333333343</v>
      </c>
      <c r="P21" s="55">
        <f>IFERROR(VLOOKUP(D21,Source_Grades!$A:$Z,25,FALSE())*20,0)</f>
        <v>100</v>
      </c>
      <c r="Q21" s="55">
        <f t="shared" si="0"/>
        <v>77.777777777777786</v>
      </c>
      <c r="R21" s="55">
        <f t="shared" si="1"/>
        <v>83.333333333333343</v>
      </c>
      <c r="S21" s="55">
        <f t="shared" si="2"/>
        <v>0</v>
      </c>
      <c r="T21" s="56">
        <f t="shared" si="3"/>
        <v>40.555555555555557</v>
      </c>
      <c r="U21" s="57" t="str">
        <f t="shared" si="4"/>
        <v>نعم</v>
      </c>
      <c r="V21" s="58" t="str">
        <f t="shared" si="5"/>
        <v>لم ينجح</v>
      </c>
    </row>
    <row r="22" spans="1:22" ht="15.7" customHeight="1" thickBot="1" x14ac:dyDescent="0.45">
      <c r="A22" s="87" t="s">
        <v>226</v>
      </c>
      <c r="B22" s="13">
        <v>1</v>
      </c>
      <c r="C22" s="14" t="s">
        <v>228</v>
      </c>
      <c r="D22" s="13" t="s">
        <v>230</v>
      </c>
      <c r="E22" s="13" t="s">
        <v>81</v>
      </c>
      <c r="F22" s="13" t="s">
        <v>83</v>
      </c>
      <c r="G22" s="13" t="s">
        <v>495</v>
      </c>
      <c r="H22" s="13" t="s">
        <v>497</v>
      </c>
      <c r="I22" s="86" t="s">
        <v>499</v>
      </c>
      <c r="J22" s="16">
        <v>0</v>
      </c>
      <c r="K22" s="90">
        <f>IFERROR(_xlfn.XLOOKUP(D22, Project_Scores!$D:$D, Project_Scores!$F:$F, 0), 0)</f>
        <v>0</v>
      </c>
      <c r="L22" s="90">
        <f>IFERROR(_xlfn.XLOOKUP(D22, Project_Scores!$D:$D, Project_Scores!$G:$G, 0), 0)</f>
        <v>0</v>
      </c>
      <c r="M22" s="71">
        <f t="shared" si="6"/>
        <v>0</v>
      </c>
      <c r="N22" s="22">
        <f>IFERROR(VLOOKUP(D22,Source_Grades!$A:$N,13,FALSE()),0)</f>
        <v>80</v>
      </c>
      <c r="O22" s="23">
        <f>IFERROR(VLOOKUP(D22,Source_Grades!$A:$V,22,FALSE())*100,0)</f>
        <v>66.666666666666657</v>
      </c>
      <c r="P22" s="27">
        <f>IFERROR(VLOOKUP(D22,Source_Grades!$A:$Z,25,FALSE())*20,0)</f>
        <v>80</v>
      </c>
      <c r="Q22" s="27">
        <f t="shared" si="0"/>
        <v>59.259259259259252</v>
      </c>
      <c r="R22" s="27">
        <f t="shared" si="1"/>
        <v>66.666666666666657</v>
      </c>
      <c r="S22" s="27">
        <f t="shared" si="2"/>
        <v>0</v>
      </c>
      <c r="T22" s="34">
        <f t="shared" si="3"/>
        <v>31.851851851851848</v>
      </c>
      <c r="U22" s="36" t="str">
        <f t="shared" si="4"/>
        <v>نعم</v>
      </c>
      <c r="V22" s="37" t="str">
        <f t="shared" si="5"/>
        <v>لم ينجح</v>
      </c>
    </row>
    <row r="23" spans="1:22" ht="15.7" customHeight="1" thickBot="1" x14ac:dyDescent="0.45">
      <c r="A23" s="78"/>
      <c r="B23" s="38">
        <v>2</v>
      </c>
      <c r="C23" s="39" t="s">
        <v>236</v>
      </c>
      <c r="D23" s="38" t="s">
        <v>211</v>
      </c>
      <c r="E23" s="38" t="s">
        <v>81</v>
      </c>
      <c r="F23" s="38" t="s">
        <v>83</v>
      </c>
      <c r="G23" s="38" t="s">
        <v>218</v>
      </c>
      <c r="H23" s="38" t="s">
        <v>216</v>
      </c>
      <c r="I23" s="75"/>
      <c r="J23" s="42">
        <v>0</v>
      </c>
      <c r="K23" s="75"/>
      <c r="L23" s="75"/>
      <c r="M23" s="71">
        <f t="shared" si="6"/>
        <v>0</v>
      </c>
      <c r="N23" s="44">
        <f>IFERROR(VLOOKUP(D23,Source_Grades!$A:$N,13,FALSE()),0)</f>
        <v>120</v>
      </c>
      <c r="O23" s="45">
        <f>IFERROR(VLOOKUP(D23,Source_Grades!$A:$V,22,FALSE())*100,0)</f>
        <v>50</v>
      </c>
      <c r="P23" s="46">
        <f>IFERROR(VLOOKUP(D23,Source_Grades!$A:$Z,25,FALSE())*20,0)</f>
        <v>60</v>
      </c>
      <c r="Q23" s="46">
        <f t="shared" si="0"/>
        <v>88.888888888888886</v>
      </c>
      <c r="R23" s="46">
        <f t="shared" si="1"/>
        <v>50</v>
      </c>
      <c r="S23" s="46">
        <f t="shared" si="2"/>
        <v>0</v>
      </c>
      <c r="T23" s="47">
        <f t="shared" si="3"/>
        <v>32.777777777777779</v>
      </c>
      <c r="U23" s="48" t="str">
        <f t="shared" si="4"/>
        <v>لا</v>
      </c>
      <c r="V23" s="49" t="str">
        <f t="shared" si="5"/>
        <v>لم ينجح</v>
      </c>
    </row>
    <row r="24" spans="1:22" ht="15.7" customHeight="1" thickBot="1" x14ac:dyDescent="0.45">
      <c r="A24" s="78"/>
      <c r="B24" s="38">
        <v>3</v>
      </c>
      <c r="C24" s="39" t="s">
        <v>237</v>
      </c>
      <c r="D24" s="38" t="s">
        <v>238</v>
      </c>
      <c r="E24" s="38" t="s">
        <v>81</v>
      </c>
      <c r="F24" s="38" t="s">
        <v>83</v>
      </c>
      <c r="G24" s="38" t="s">
        <v>536</v>
      </c>
      <c r="H24" s="38" t="s">
        <v>537</v>
      </c>
      <c r="I24" s="75"/>
      <c r="J24" s="42">
        <v>0</v>
      </c>
      <c r="K24" s="75"/>
      <c r="L24" s="75"/>
      <c r="M24" s="71">
        <f t="shared" si="6"/>
        <v>0</v>
      </c>
      <c r="N24" s="44">
        <f>IFERROR(VLOOKUP(D24,Source_Grades!$A:$N,13,FALSE()),0)</f>
        <v>80</v>
      </c>
      <c r="O24" s="45">
        <f>IFERROR(VLOOKUP(D24,Source_Grades!$A:$V,22,FALSE())*100,0)</f>
        <v>83.333333333333343</v>
      </c>
      <c r="P24" s="46">
        <f>IFERROR(VLOOKUP(D24,Source_Grades!$A:$Z,25,FALSE())*20,0)</f>
        <v>100</v>
      </c>
      <c r="Q24" s="46">
        <f t="shared" si="0"/>
        <v>59.259259259259252</v>
      </c>
      <c r="R24" s="46">
        <f t="shared" si="1"/>
        <v>83.333333333333343</v>
      </c>
      <c r="S24" s="46">
        <f t="shared" si="2"/>
        <v>0</v>
      </c>
      <c r="T24" s="47">
        <f t="shared" si="3"/>
        <v>36.851851851851855</v>
      </c>
      <c r="U24" s="48" t="str">
        <f t="shared" si="4"/>
        <v>نعم</v>
      </c>
      <c r="V24" s="49" t="str">
        <f t="shared" si="5"/>
        <v>لم ينجح</v>
      </c>
    </row>
    <row r="25" spans="1:22" ht="15.7" customHeight="1" thickBot="1" x14ac:dyDescent="0.45">
      <c r="A25" s="78"/>
      <c r="B25" s="38">
        <v>4</v>
      </c>
      <c r="C25" s="39" t="s">
        <v>239</v>
      </c>
      <c r="D25" s="38" t="s">
        <v>240</v>
      </c>
      <c r="E25" s="38" t="s">
        <v>81</v>
      </c>
      <c r="F25" s="38" t="s">
        <v>83</v>
      </c>
      <c r="G25" s="38" t="s">
        <v>579</v>
      </c>
      <c r="H25" s="38" t="s">
        <v>581</v>
      </c>
      <c r="I25" s="75"/>
      <c r="J25" s="42">
        <v>0</v>
      </c>
      <c r="K25" s="75"/>
      <c r="L25" s="75"/>
      <c r="M25" s="71">
        <f t="shared" si="6"/>
        <v>0</v>
      </c>
      <c r="N25" s="44">
        <f>IFERROR(VLOOKUP(D25,Source_Grades!$A:$N,13,FALSE()),0)</f>
        <v>88</v>
      </c>
      <c r="O25" s="45">
        <f>IFERROR(VLOOKUP(D25,Source_Grades!$A:$V,22,FALSE())*100,0)</f>
        <v>83.333333333333343</v>
      </c>
      <c r="P25" s="46">
        <f>IFERROR(VLOOKUP(D25,Source_Grades!$A:$Z,25,FALSE())*20,0)</f>
        <v>100</v>
      </c>
      <c r="Q25" s="46">
        <f t="shared" si="0"/>
        <v>65.18518518518519</v>
      </c>
      <c r="R25" s="46">
        <f t="shared" si="1"/>
        <v>83.333333333333343</v>
      </c>
      <c r="S25" s="46">
        <f t="shared" si="2"/>
        <v>0</v>
      </c>
      <c r="T25" s="47">
        <f t="shared" si="3"/>
        <v>38.037037037037038</v>
      </c>
      <c r="U25" s="48" t="str">
        <f t="shared" si="4"/>
        <v>نعم</v>
      </c>
      <c r="V25" s="49" t="str">
        <f t="shared" si="5"/>
        <v>لم ينجح</v>
      </c>
    </row>
    <row r="26" spans="1:22" ht="15.7" customHeight="1" thickBot="1" x14ac:dyDescent="0.45">
      <c r="A26" s="88"/>
      <c r="B26" s="50">
        <v>5</v>
      </c>
      <c r="C26" s="51" t="s">
        <v>241</v>
      </c>
      <c r="D26" s="50" t="s">
        <v>242</v>
      </c>
      <c r="E26" s="50" t="s">
        <v>81</v>
      </c>
      <c r="F26" s="50" t="s">
        <v>83</v>
      </c>
      <c r="G26" s="50" t="s">
        <v>597</v>
      </c>
      <c r="H26" s="50" t="s">
        <v>598</v>
      </c>
      <c r="I26" s="85"/>
      <c r="J26" s="52">
        <v>0</v>
      </c>
      <c r="K26" s="76"/>
      <c r="L26" s="76"/>
      <c r="M26" s="71">
        <f t="shared" si="6"/>
        <v>0</v>
      </c>
      <c r="N26" s="53">
        <f>IFERROR(VLOOKUP(D26,Source_Grades!$A:$N,13,FALSE()),0)</f>
        <v>75</v>
      </c>
      <c r="O26" s="54">
        <f>IFERROR(VLOOKUP(D26,Source_Grades!$A:$V,22,FALSE())*100,0)</f>
        <v>66.666666666666657</v>
      </c>
      <c r="P26" s="55">
        <f>IFERROR(VLOOKUP(D26,Source_Grades!$A:$Z,25,FALSE())*20,0)</f>
        <v>80</v>
      </c>
      <c r="Q26" s="55">
        <f t="shared" si="0"/>
        <v>55.555555555555557</v>
      </c>
      <c r="R26" s="55">
        <f t="shared" si="1"/>
        <v>66.666666666666657</v>
      </c>
      <c r="S26" s="55">
        <f t="shared" si="2"/>
        <v>0</v>
      </c>
      <c r="T26" s="56">
        <f t="shared" si="3"/>
        <v>31.111111111111107</v>
      </c>
      <c r="U26" s="57" t="str">
        <f t="shared" si="4"/>
        <v>نعم</v>
      </c>
      <c r="V26" s="58" t="str">
        <f t="shared" si="5"/>
        <v>لم ينجح</v>
      </c>
    </row>
    <row r="27" spans="1:22" ht="15.7" customHeight="1" thickBot="1" x14ac:dyDescent="0.45">
      <c r="A27" s="89" t="s">
        <v>243</v>
      </c>
      <c r="B27" s="59">
        <v>1</v>
      </c>
      <c r="C27" s="60" t="s">
        <v>244</v>
      </c>
      <c r="D27" s="59" t="s">
        <v>245</v>
      </c>
      <c r="E27" s="59" t="s">
        <v>614</v>
      </c>
      <c r="F27" s="59" t="s">
        <v>83</v>
      </c>
      <c r="G27" s="59" t="s">
        <v>615</v>
      </c>
      <c r="H27" s="59" t="s">
        <v>616</v>
      </c>
      <c r="I27" s="84" t="s">
        <v>617</v>
      </c>
      <c r="J27" s="16">
        <v>0</v>
      </c>
      <c r="K27" s="90">
        <f>IFERROR(_xlfn.XLOOKUP(D27, Project_Scores!$D:$D, Project_Scores!$F:$F, 0), 0)</f>
        <v>0</v>
      </c>
      <c r="L27" s="90">
        <f>IFERROR(_xlfn.XLOOKUP(D27, Project_Scores!$D:$D, Project_Scores!$G:$G, 0), 0)</f>
        <v>0</v>
      </c>
      <c r="M27" s="71">
        <f t="shared" si="6"/>
        <v>0</v>
      </c>
      <c r="N27" s="22">
        <f>IFERROR(VLOOKUP(D27,Source_Grades!$A:$N,13,FALSE()),0)</f>
        <v>100</v>
      </c>
      <c r="O27" s="23">
        <f>IFERROR(VLOOKUP(D27,Source_Grades!$A:$V,22,FALSE())*100,0)</f>
        <v>83.333333333333343</v>
      </c>
      <c r="P27" s="27">
        <f>IFERROR(VLOOKUP(D27,Source_Grades!$A:$Z,25,FALSE())*20,0)</f>
        <v>100</v>
      </c>
      <c r="Q27" s="27">
        <f t="shared" si="0"/>
        <v>74.074074074074076</v>
      </c>
      <c r="R27" s="27">
        <f t="shared" si="1"/>
        <v>83.333333333333343</v>
      </c>
      <c r="S27" s="27">
        <f t="shared" si="2"/>
        <v>0</v>
      </c>
      <c r="T27" s="34">
        <f t="shared" si="3"/>
        <v>39.814814814814824</v>
      </c>
      <c r="U27" s="36" t="str">
        <f t="shared" si="4"/>
        <v>نعم</v>
      </c>
      <c r="V27" s="37" t="str">
        <f t="shared" si="5"/>
        <v>لم ينجح</v>
      </c>
    </row>
    <row r="28" spans="1:22" ht="15.7" customHeight="1" thickBot="1" x14ac:dyDescent="0.45">
      <c r="A28" s="78"/>
      <c r="B28" s="61">
        <v>2</v>
      </c>
      <c r="C28" s="62" t="s">
        <v>249</v>
      </c>
      <c r="D28" s="61" t="s">
        <v>250</v>
      </c>
      <c r="E28" s="61" t="s">
        <v>614</v>
      </c>
      <c r="F28" s="61" t="s">
        <v>83</v>
      </c>
      <c r="G28" s="61" t="s">
        <v>636</v>
      </c>
      <c r="H28" s="61" t="s">
        <v>637</v>
      </c>
      <c r="I28" s="75"/>
      <c r="J28" s="42">
        <v>0</v>
      </c>
      <c r="K28" s="75"/>
      <c r="L28" s="75"/>
      <c r="M28" s="71">
        <f t="shared" si="6"/>
        <v>0</v>
      </c>
      <c r="N28" s="44">
        <f>IFERROR(VLOOKUP(D28,Source_Grades!$A:$N,13,FALSE()),0)</f>
        <v>100</v>
      </c>
      <c r="O28" s="45">
        <f>IFERROR(VLOOKUP(D28,Source_Grades!$A:$V,22,FALSE())*100,0)</f>
        <v>83.333333333333343</v>
      </c>
      <c r="P28" s="46">
        <f>IFERROR(VLOOKUP(D28,Source_Grades!$A:$Z,25,FALSE())*20,0)</f>
        <v>100</v>
      </c>
      <c r="Q28" s="46">
        <f t="shared" si="0"/>
        <v>74.074074074074076</v>
      </c>
      <c r="R28" s="46">
        <f t="shared" si="1"/>
        <v>83.333333333333343</v>
      </c>
      <c r="S28" s="46">
        <f t="shared" si="2"/>
        <v>0</v>
      </c>
      <c r="T28" s="47">
        <f t="shared" si="3"/>
        <v>39.814814814814824</v>
      </c>
      <c r="U28" s="48" t="str">
        <f t="shared" si="4"/>
        <v>نعم</v>
      </c>
      <c r="V28" s="49" t="str">
        <f t="shared" si="5"/>
        <v>لم ينجح</v>
      </c>
    </row>
    <row r="29" spans="1:22" ht="15.7" customHeight="1" thickBot="1" x14ac:dyDescent="0.45">
      <c r="A29" s="78"/>
      <c r="B29" s="61">
        <v>3</v>
      </c>
      <c r="C29" s="62" t="s">
        <v>251</v>
      </c>
      <c r="D29" s="61" t="s">
        <v>252</v>
      </c>
      <c r="E29" s="61" t="s">
        <v>614</v>
      </c>
      <c r="F29" s="61" t="s">
        <v>83</v>
      </c>
      <c r="G29" s="61" t="s">
        <v>652</v>
      </c>
      <c r="H29" s="61" t="s">
        <v>653</v>
      </c>
      <c r="I29" s="75"/>
      <c r="J29" s="42">
        <v>0</v>
      </c>
      <c r="K29" s="75"/>
      <c r="L29" s="75"/>
      <c r="M29" s="71">
        <f t="shared" si="6"/>
        <v>0</v>
      </c>
      <c r="N29" s="44">
        <f>IFERROR(VLOOKUP(D29,Source_Grades!$A:$N,13,FALSE()),0)</f>
        <v>125</v>
      </c>
      <c r="O29" s="45">
        <f>IFERROR(VLOOKUP(D29,Source_Grades!$A:$V,22,FALSE())*100,0)</f>
        <v>83.333333333333343</v>
      </c>
      <c r="P29" s="46">
        <f>IFERROR(VLOOKUP(D29,Source_Grades!$A:$Z,25,FALSE())*20,0)</f>
        <v>100</v>
      </c>
      <c r="Q29" s="46">
        <f t="shared" si="0"/>
        <v>92.592592592592595</v>
      </c>
      <c r="R29" s="46">
        <f t="shared" si="1"/>
        <v>83.333333333333343</v>
      </c>
      <c r="S29" s="46">
        <f t="shared" si="2"/>
        <v>0</v>
      </c>
      <c r="T29" s="47">
        <f t="shared" si="3"/>
        <v>43.518518518518519</v>
      </c>
      <c r="U29" s="48" t="str">
        <f t="shared" si="4"/>
        <v>نعم</v>
      </c>
      <c r="V29" s="49" t="str">
        <f t="shared" si="5"/>
        <v>لم ينجح</v>
      </c>
    </row>
    <row r="30" spans="1:22" ht="15.7" customHeight="1" thickBot="1" x14ac:dyDescent="0.45">
      <c r="A30" s="78"/>
      <c r="B30" s="61">
        <v>4</v>
      </c>
      <c r="C30" s="62" t="s">
        <v>253</v>
      </c>
      <c r="D30" s="61" t="s">
        <v>254</v>
      </c>
      <c r="E30" s="61" t="s">
        <v>614</v>
      </c>
      <c r="F30" s="61" t="s">
        <v>83</v>
      </c>
      <c r="G30" s="61" t="s">
        <v>429</v>
      </c>
      <c r="H30" s="61" t="s">
        <v>427</v>
      </c>
      <c r="I30" s="75"/>
      <c r="J30" s="42">
        <v>0</v>
      </c>
      <c r="K30" s="75"/>
      <c r="L30" s="75"/>
      <c r="M30" s="71">
        <f t="shared" si="6"/>
        <v>0</v>
      </c>
      <c r="N30" s="44">
        <f>IFERROR(VLOOKUP(D30,Source_Grades!$A:$N,13,FALSE()),0)</f>
        <v>82</v>
      </c>
      <c r="O30" s="45">
        <f>IFERROR(VLOOKUP(D30,Source_Grades!$A:$V,22,FALSE())*100,0)</f>
        <v>66.666666666666657</v>
      </c>
      <c r="P30" s="46">
        <f>IFERROR(VLOOKUP(D30,Source_Grades!$A:$Z,25,FALSE())*20,0)</f>
        <v>80</v>
      </c>
      <c r="Q30" s="46">
        <f t="shared" si="0"/>
        <v>60.74074074074074</v>
      </c>
      <c r="R30" s="46">
        <f t="shared" si="1"/>
        <v>66.666666666666657</v>
      </c>
      <c r="S30" s="46">
        <f t="shared" si="2"/>
        <v>0</v>
      </c>
      <c r="T30" s="47">
        <f t="shared" si="3"/>
        <v>32.148148148148145</v>
      </c>
      <c r="U30" s="48" t="str">
        <f t="shared" si="4"/>
        <v>نعم</v>
      </c>
      <c r="V30" s="49" t="str">
        <f t="shared" si="5"/>
        <v>لم ينجح</v>
      </c>
    </row>
    <row r="31" spans="1:22" ht="15.7" customHeight="1" thickBot="1" x14ac:dyDescent="0.45">
      <c r="A31" s="88"/>
      <c r="B31" s="63">
        <v>5</v>
      </c>
      <c r="C31" s="64" t="s">
        <v>255</v>
      </c>
      <c r="D31" s="63" t="s">
        <v>256</v>
      </c>
      <c r="E31" s="63" t="s">
        <v>614</v>
      </c>
      <c r="F31" s="63" t="s">
        <v>83</v>
      </c>
      <c r="G31" s="63" t="s">
        <v>611</v>
      </c>
      <c r="H31" s="63" t="s">
        <v>609</v>
      </c>
      <c r="I31" s="85"/>
      <c r="J31" s="52">
        <v>0</v>
      </c>
      <c r="K31" s="76"/>
      <c r="L31" s="76"/>
      <c r="M31" s="71">
        <f t="shared" si="6"/>
        <v>0</v>
      </c>
      <c r="N31" s="53">
        <f>IFERROR(VLOOKUP(D31,Source_Grades!$A:$N,13,FALSE()),0)</f>
        <v>98</v>
      </c>
      <c r="O31" s="54">
        <f>IFERROR(VLOOKUP(D31,Source_Grades!$A:$V,22,FALSE())*100,0)</f>
        <v>66.666666666666657</v>
      </c>
      <c r="P31" s="55">
        <f>IFERROR(VLOOKUP(D31,Source_Grades!$A:$Z,25,FALSE())*20,0)</f>
        <v>80</v>
      </c>
      <c r="Q31" s="55">
        <f t="shared" si="0"/>
        <v>72.592592592592595</v>
      </c>
      <c r="R31" s="55">
        <f t="shared" si="1"/>
        <v>66.666666666666657</v>
      </c>
      <c r="S31" s="55">
        <f t="shared" si="2"/>
        <v>0</v>
      </c>
      <c r="T31" s="56">
        <f t="shared" si="3"/>
        <v>34.518518518518519</v>
      </c>
      <c r="U31" s="57" t="str">
        <f t="shared" si="4"/>
        <v>نعم</v>
      </c>
      <c r="V31" s="58" t="str">
        <f t="shared" si="5"/>
        <v>لم ينجح</v>
      </c>
    </row>
    <row r="32" spans="1:22" ht="15.7" customHeight="1" thickBot="1" x14ac:dyDescent="0.45">
      <c r="A32" s="87" t="s">
        <v>257</v>
      </c>
      <c r="B32" s="13">
        <v>1</v>
      </c>
      <c r="C32" s="14" t="s">
        <v>36</v>
      </c>
      <c r="D32" s="13" t="s">
        <v>35</v>
      </c>
      <c r="E32" s="13" t="s">
        <v>81</v>
      </c>
      <c r="F32" s="13" t="s">
        <v>83</v>
      </c>
      <c r="G32" s="13" t="s">
        <v>52</v>
      </c>
      <c r="H32" s="13" t="s">
        <v>48</v>
      </c>
      <c r="I32" s="86" t="s">
        <v>697</v>
      </c>
      <c r="J32" s="16">
        <v>0</v>
      </c>
      <c r="K32" s="90">
        <f>IFERROR(_xlfn.XLOOKUP(D32, Project_Scores!$D:$D, Project_Scores!$F:$F, 0), 0)</f>
        <v>0</v>
      </c>
      <c r="L32" s="90">
        <f>IFERROR(_xlfn.XLOOKUP(D32, Project_Scores!$D:$D, Project_Scores!$G:$G, 0), 0)</f>
        <v>0</v>
      </c>
      <c r="M32" s="71">
        <f t="shared" si="6"/>
        <v>0</v>
      </c>
      <c r="N32" s="22">
        <f>IFERROR(VLOOKUP(D32,Source_Grades!$A:$N,13,FALSE()),0)</f>
        <v>135</v>
      </c>
      <c r="O32" s="23">
        <f>IFERROR(VLOOKUP(D32,Source_Grades!$A:$V,22,FALSE())*100,0)</f>
        <v>83.333333333333343</v>
      </c>
      <c r="P32" s="27">
        <f>IFERROR(VLOOKUP(D32,Source_Grades!$A:$Z,25,FALSE())*20,0)</f>
        <v>100</v>
      </c>
      <c r="Q32" s="27">
        <f t="shared" si="0"/>
        <v>100</v>
      </c>
      <c r="R32" s="27">
        <f t="shared" si="1"/>
        <v>83.333333333333343</v>
      </c>
      <c r="S32" s="27">
        <f t="shared" si="2"/>
        <v>0</v>
      </c>
      <c r="T32" s="34">
        <f t="shared" si="3"/>
        <v>45</v>
      </c>
      <c r="U32" s="36" t="str">
        <f t="shared" si="4"/>
        <v>نعم</v>
      </c>
      <c r="V32" s="37" t="str">
        <f t="shared" si="5"/>
        <v>لم ينجح</v>
      </c>
    </row>
    <row r="33" spans="1:22" ht="15.7" customHeight="1" thickBot="1" x14ac:dyDescent="0.45">
      <c r="A33" s="78"/>
      <c r="B33" s="38">
        <v>2</v>
      </c>
      <c r="C33" s="39" t="s">
        <v>258</v>
      </c>
      <c r="D33" s="38" t="s">
        <v>259</v>
      </c>
      <c r="E33" s="38" t="s">
        <v>81</v>
      </c>
      <c r="F33" s="38" t="s">
        <v>83</v>
      </c>
      <c r="G33" s="38" t="s">
        <v>719</v>
      </c>
      <c r="H33" s="38" t="s">
        <v>720</v>
      </c>
      <c r="I33" s="75"/>
      <c r="J33" s="42">
        <v>0</v>
      </c>
      <c r="K33" s="75"/>
      <c r="L33" s="75"/>
      <c r="M33" s="71">
        <f t="shared" si="6"/>
        <v>0</v>
      </c>
      <c r="N33" s="44">
        <f>IFERROR(VLOOKUP(D33,Source_Grades!$A:$N,13,FALSE()),0)</f>
        <v>90</v>
      </c>
      <c r="O33" s="45">
        <f>IFERROR(VLOOKUP(D33,Source_Grades!$A:$V,22,FALSE())*100,0)</f>
        <v>83.333333333333343</v>
      </c>
      <c r="P33" s="46">
        <f>IFERROR(VLOOKUP(D33,Source_Grades!$A:$Z,25,FALSE())*20,0)</f>
        <v>100</v>
      </c>
      <c r="Q33" s="46">
        <f t="shared" si="0"/>
        <v>66.666666666666657</v>
      </c>
      <c r="R33" s="46">
        <f t="shared" si="1"/>
        <v>83.333333333333343</v>
      </c>
      <c r="S33" s="46">
        <f t="shared" si="2"/>
        <v>0</v>
      </c>
      <c r="T33" s="47">
        <f t="shared" si="3"/>
        <v>38.333333333333336</v>
      </c>
      <c r="U33" s="48" t="str">
        <f t="shared" si="4"/>
        <v>نعم</v>
      </c>
      <c r="V33" s="49" t="str">
        <f t="shared" si="5"/>
        <v>لم ينجح</v>
      </c>
    </row>
    <row r="34" spans="1:22" ht="15.7" customHeight="1" thickBot="1" x14ac:dyDescent="0.45">
      <c r="A34" s="78"/>
      <c r="B34" s="38">
        <v>3</v>
      </c>
      <c r="C34" s="39" t="s">
        <v>260</v>
      </c>
      <c r="D34" s="38" t="s">
        <v>261</v>
      </c>
      <c r="E34" s="38" t="s">
        <v>81</v>
      </c>
      <c r="F34" s="38" t="s">
        <v>83</v>
      </c>
      <c r="G34" s="38" t="s">
        <v>735</v>
      </c>
      <c r="H34" s="38" t="s">
        <v>736</v>
      </c>
      <c r="I34" s="75"/>
      <c r="J34" s="42">
        <v>0</v>
      </c>
      <c r="K34" s="75"/>
      <c r="L34" s="75"/>
      <c r="M34" s="71">
        <f t="shared" si="6"/>
        <v>0</v>
      </c>
      <c r="N34" s="44">
        <f>IFERROR(VLOOKUP(D34,Source_Grades!$A:$N,13,FALSE()),0)</f>
        <v>115</v>
      </c>
      <c r="O34" s="45">
        <f>IFERROR(VLOOKUP(D34,Source_Grades!$A:$V,22,FALSE())*100,0)</f>
        <v>83.333333333333343</v>
      </c>
      <c r="P34" s="46">
        <f>IFERROR(VLOOKUP(D34,Source_Grades!$A:$Z,25,FALSE())*20,0)</f>
        <v>100</v>
      </c>
      <c r="Q34" s="46">
        <f t="shared" si="0"/>
        <v>85.18518518518519</v>
      </c>
      <c r="R34" s="46">
        <f t="shared" si="1"/>
        <v>83.333333333333343</v>
      </c>
      <c r="S34" s="46">
        <f t="shared" si="2"/>
        <v>0</v>
      </c>
      <c r="T34" s="47">
        <f t="shared" si="3"/>
        <v>42.037037037037038</v>
      </c>
      <c r="U34" s="48" t="str">
        <f t="shared" si="4"/>
        <v>نعم</v>
      </c>
      <c r="V34" s="49" t="str">
        <f t="shared" si="5"/>
        <v>لم ينجح</v>
      </c>
    </row>
    <row r="35" spans="1:22" ht="15.7" customHeight="1" thickBot="1" x14ac:dyDescent="0.45">
      <c r="A35" s="78"/>
      <c r="B35" s="38">
        <v>4</v>
      </c>
      <c r="C35" s="39" t="s">
        <v>264</v>
      </c>
      <c r="D35" s="38" t="s">
        <v>265</v>
      </c>
      <c r="E35" s="38" t="s">
        <v>81</v>
      </c>
      <c r="F35" s="38" t="s">
        <v>83</v>
      </c>
      <c r="G35" s="38" t="s">
        <v>740</v>
      </c>
      <c r="H35" s="38" t="s">
        <v>741</v>
      </c>
      <c r="I35" s="75"/>
      <c r="J35" s="42">
        <v>0</v>
      </c>
      <c r="K35" s="75"/>
      <c r="L35" s="75"/>
      <c r="M35" s="71">
        <f t="shared" si="6"/>
        <v>0</v>
      </c>
      <c r="N35" s="44">
        <f>IFERROR(VLOOKUP(D35,Source_Grades!$A:$N,13,FALSE()),0)</f>
        <v>136</v>
      </c>
      <c r="O35" s="45">
        <f>IFERROR(VLOOKUP(D35,Source_Grades!$A:$V,22,FALSE())*100,0)</f>
        <v>83.333333333333343</v>
      </c>
      <c r="P35" s="46">
        <f>IFERROR(VLOOKUP(D35,Source_Grades!$A:$Z,25,FALSE())*20,0)</f>
        <v>100</v>
      </c>
      <c r="Q35" s="46">
        <f t="shared" si="0"/>
        <v>100.74074074074073</v>
      </c>
      <c r="R35" s="46">
        <f t="shared" si="1"/>
        <v>83.333333333333343</v>
      </c>
      <c r="S35" s="46">
        <f t="shared" si="2"/>
        <v>0</v>
      </c>
      <c r="T35" s="47">
        <f t="shared" si="3"/>
        <v>45.148148148148152</v>
      </c>
      <c r="U35" s="48" t="str">
        <f t="shared" si="4"/>
        <v>نعم</v>
      </c>
      <c r="V35" s="49" t="str">
        <f t="shared" si="5"/>
        <v>لم ينجح</v>
      </c>
    </row>
    <row r="36" spans="1:22" ht="15.7" customHeight="1" thickBot="1" x14ac:dyDescent="0.45">
      <c r="A36" s="88"/>
      <c r="B36" s="50">
        <v>5</v>
      </c>
      <c r="C36" s="51" t="s">
        <v>266</v>
      </c>
      <c r="D36" s="50" t="s">
        <v>267</v>
      </c>
      <c r="E36" s="50" t="s">
        <v>81</v>
      </c>
      <c r="F36" s="50" t="s">
        <v>83</v>
      </c>
      <c r="G36" s="50" t="s">
        <v>748</v>
      </c>
      <c r="H36" s="50" t="s">
        <v>749</v>
      </c>
      <c r="I36" s="85"/>
      <c r="J36" s="52">
        <v>0</v>
      </c>
      <c r="K36" s="76"/>
      <c r="L36" s="76"/>
      <c r="M36" s="71">
        <f t="shared" si="6"/>
        <v>0</v>
      </c>
      <c r="N36" s="53">
        <f>IFERROR(VLOOKUP(D36,Source_Grades!$A:$N,13,FALSE()),0)</f>
        <v>109</v>
      </c>
      <c r="O36" s="54">
        <f>IFERROR(VLOOKUP(D36,Source_Grades!$A:$V,22,FALSE())*100,0)</f>
        <v>83.333333333333343</v>
      </c>
      <c r="P36" s="55">
        <f>IFERROR(VLOOKUP(D36,Source_Grades!$A:$Z,25,FALSE())*20,0)</f>
        <v>100</v>
      </c>
      <c r="Q36" s="55">
        <f t="shared" si="0"/>
        <v>80.740740740740748</v>
      </c>
      <c r="R36" s="55">
        <f t="shared" si="1"/>
        <v>83.333333333333343</v>
      </c>
      <c r="S36" s="55">
        <f t="shared" si="2"/>
        <v>0</v>
      </c>
      <c r="T36" s="56">
        <f t="shared" si="3"/>
        <v>41.148148148148152</v>
      </c>
      <c r="U36" s="57" t="str">
        <f t="shared" si="4"/>
        <v>نعم</v>
      </c>
      <c r="V36" s="58" t="str">
        <f t="shared" si="5"/>
        <v>لم ينجح</v>
      </c>
    </row>
    <row r="37" spans="1:22" ht="15.7" customHeight="1" thickBot="1" x14ac:dyDescent="0.45">
      <c r="A37" s="89" t="s">
        <v>268</v>
      </c>
      <c r="B37" s="59">
        <v>1</v>
      </c>
      <c r="C37" s="60" t="s">
        <v>269</v>
      </c>
      <c r="D37" s="59" t="s">
        <v>270</v>
      </c>
      <c r="E37" s="59" t="s">
        <v>614</v>
      </c>
      <c r="F37" s="59" t="s">
        <v>83</v>
      </c>
      <c r="G37" s="59" t="s">
        <v>759</v>
      </c>
      <c r="H37" s="59" t="s">
        <v>760</v>
      </c>
      <c r="I37" s="84" t="s">
        <v>761</v>
      </c>
      <c r="J37" s="16">
        <v>0</v>
      </c>
      <c r="K37" s="90">
        <f>IFERROR(_xlfn.XLOOKUP(D37, Project_Scores!$D:$D, Project_Scores!$F:$F, 0), 0)</f>
        <v>0</v>
      </c>
      <c r="L37" s="90">
        <f>IFERROR(_xlfn.XLOOKUP(D37, Project_Scores!$D:$D, Project_Scores!$G:$G, 0), 0)</f>
        <v>0</v>
      </c>
      <c r="M37" s="71">
        <f t="shared" si="6"/>
        <v>0</v>
      </c>
      <c r="N37" s="22">
        <f>IFERROR(VLOOKUP(D37,Source_Grades!$A:$N,13,FALSE()),0)</f>
        <v>133</v>
      </c>
      <c r="O37" s="23">
        <f>IFERROR(VLOOKUP(D37,Source_Grades!$A:$V,22,FALSE())*100,0)</f>
        <v>66.666666666666657</v>
      </c>
      <c r="P37" s="27">
        <f>IFERROR(VLOOKUP(D37,Source_Grades!$A:$Z,25,FALSE())*20,0)</f>
        <v>80</v>
      </c>
      <c r="Q37" s="27">
        <f t="shared" si="0"/>
        <v>98.518518518518519</v>
      </c>
      <c r="R37" s="27">
        <f t="shared" si="1"/>
        <v>66.666666666666657</v>
      </c>
      <c r="S37" s="27">
        <f t="shared" si="2"/>
        <v>0</v>
      </c>
      <c r="T37" s="34">
        <f t="shared" si="3"/>
        <v>39.703703703703702</v>
      </c>
      <c r="U37" s="36" t="str">
        <f t="shared" si="4"/>
        <v>نعم</v>
      </c>
      <c r="V37" s="37" t="str">
        <f t="shared" si="5"/>
        <v>لم ينجح</v>
      </c>
    </row>
    <row r="38" spans="1:22" ht="15.7" customHeight="1" thickBot="1" x14ac:dyDescent="0.45">
      <c r="A38" s="78"/>
      <c r="B38" s="61">
        <v>2</v>
      </c>
      <c r="C38" s="62" t="s">
        <v>273</v>
      </c>
      <c r="D38" s="61" t="s">
        <v>274</v>
      </c>
      <c r="E38" s="61" t="s">
        <v>614</v>
      </c>
      <c r="F38" s="61" t="s">
        <v>83</v>
      </c>
      <c r="G38" s="61" t="s">
        <v>325</v>
      </c>
      <c r="H38" s="61" t="s">
        <v>322</v>
      </c>
      <c r="I38" s="75"/>
      <c r="J38" s="42">
        <v>0</v>
      </c>
      <c r="K38" s="75"/>
      <c r="L38" s="75"/>
      <c r="M38" s="71">
        <f t="shared" si="6"/>
        <v>0</v>
      </c>
      <c r="N38" s="44">
        <f>IFERROR(VLOOKUP(D38,Source_Grades!$A:$N,13,FALSE()),0)</f>
        <v>116</v>
      </c>
      <c r="O38" s="45">
        <f>IFERROR(VLOOKUP(D38,Source_Grades!$A:$V,22,FALSE())*100,0)</f>
        <v>66.666666666666657</v>
      </c>
      <c r="P38" s="46">
        <f>IFERROR(VLOOKUP(D38,Source_Grades!$A:$Z,25,FALSE())*20,0)</f>
        <v>80</v>
      </c>
      <c r="Q38" s="46">
        <f t="shared" si="0"/>
        <v>85.925925925925924</v>
      </c>
      <c r="R38" s="46">
        <f t="shared" si="1"/>
        <v>66.666666666666657</v>
      </c>
      <c r="S38" s="46">
        <f t="shared" si="2"/>
        <v>0</v>
      </c>
      <c r="T38" s="47">
        <f t="shared" si="3"/>
        <v>37.185185185185183</v>
      </c>
      <c r="U38" s="48" t="str">
        <f t="shared" si="4"/>
        <v>نعم</v>
      </c>
      <c r="V38" s="49" t="str">
        <f t="shared" si="5"/>
        <v>لم ينجح</v>
      </c>
    </row>
    <row r="39" spans="1:22" ht="15.7" customHeight="1" thickBot="1" x14ac:dyDescent="0.45">
      <c r="A39" s="78"/>
      <c r="B39" s="61">
        <v>3</v>
      </c>
      <c r="C39" s="62" t="s">
        <v>275</v>
      </c>
      <c r="D39" s="61" t="s">
        <v>276</v>
      </c>
      <c r="E39" s="61" t="s">
        <v>614</v>
      </c>
      <c r="F39" s="61" t="s">
        <v>83</v>
      </c>
      <c r="G39" s="61" t="s">
        <v>508</v>
      </c>
      <c r="H39" s="61" t="s">
        <v>506</v>
      </c>
      <c r="I39" s="75"/>
      <c r="J39" s="42">
        <v>0</v>
      </c>
      <c r="K39" s="75"/>
      <c r="L39" s="75"/>
      <c r="M39" s="71">
        <f t="shared" si="6"/>
        <v>0</v>
      </c>
      <c r="N39" s="44">
        <f>IFERROR(VLOOKUP(D39,Source_Grades!$A:$N,13,FALSE()),0)</f>
        <v>92</v>
      </c>
      <c r="O39" s="45">
        <f>IFERROR(VLOOKUP(D39,Source_Grades!$A:$V,22,FALSE())*100,0)</f>
        <v>66.666666666666657</v>
      </c>
      <c r="P39" s="46">
        <f>IFERROR(VLOOKUP(D39,Source_Grades!$A:$Z,25,FALSE())*20,0)</f>
        <v>80</v>
      </c>
      <c r="Q39" s="46">
        <f t="shared" si="0"/>
        <v>68.148148148148152</v>
      </c>
      <c r="R39" s="46">
        <f t="shared" si="1"/>
        <v>66.666666666666657</v>
      </c>
      <c r="S39" s="46">
        <f t="shared" si="2"/>
        <v>0</v>
      </c>
      <c r="T39" s="47">
        <f t="shared" si="3"/>
        <v>33.629629629629626</v>
      </c>
      <c r="U39" s="48" t="str">
        <f t="shared" si="4"/>
        <v>نعم</v>
      </c>
      <c r="V39" s="49" t="str">
        <f t="shared" si="5"/>
        <v>لم ينجح</v>
      </c>
    </row>
    <row r="40" spans="1:22" ht="15.7" customHeight="1" thickBot="1" x14ac:dyDescent="0.45">
      <c r="A40" s="78"/>
      <c r="B40" s="61">
        <v>4</v>
      </c>
      <c r="C40" s="62" t="s">
        <v>277</v>
      </c>
      <c r="D40" s="61" t="s">
        <v>278</v>
      </c>
      <c r="E40" s="61" t="s">
        <v>614</v>
      </c>
      <c r="F40" s="61" t="s">
        <v>83</v>
      </c>
      <c r="G40" s="61" t="s">
        <v>533</v>
      </c>
      <c r="H40" s="61" t="s">
        <v>531</v>
      </c>
      <c r="I40" s="75"/>
      <c r="J40" s="42">
        <v>0</v>
      </c>
      <c r="K40" s="75"/>
      <c r="L40" s="75"/>
      <c r="M40" s="71">
        <f t="shared" si="6"/>
        <v>0</v>
      </c>
      <c r="N40" s="44">
        <f>IFERROR(VLOOKUP(D40,Source_Grades!$A:$N,13,FALSE()),0)</f>
        <v>15</v>
      </c>
      <c r="O40" s="45">
        <f>IFERROR(VLOOKUP(D40,Source_Grades!$A:$V,22,FALSE())*100,0)</f>
        <v>66.666666666666657</v>
      </c>
      <c r="P40" s="46">
        <f>IFERROR(VLOOKUP(D40,Source_Grades!$A:$Z,25,FALSE())*20,0)</f>
        <v>80</v>
      </c>
      <c r="Q40" s="46">
        <f t="shared" si="0"/>
        <v>11.111111111111111</v>
      </c>
      <c r="R40" s="46">
        <f t="shared" si="1"/>
        <v>66.666666666666657</v>
      </c>
      <c r="S40" s="46">
        <f t="shared" si="2"/>
        <v>0</v>
      </c>
      <c r="T40" s="47">
        <f t="shared" si="3"/>
        <v>22.222222222222218</v>
      </c>
      <c r="U40" s="48" t="str">
        <f t="shared" si="4"/>
        <v>نعم</v>
      </c>
      <c r="V40" s="49" t="str">
        <f t="shared" si="5"/>
        <v>لم ينجح</v>
      </c>
    </row>
    <row r="41" spans="1:22" ht="15.7" customHeight="1" thickBot="1" x14ac:dyDescent="0.45">
      <c r="A41" s="88"/>
      <c r="B41" s="63">
        <v>5</v>
      </c>
      <c r="C41" s="64" t="s">
        <v>279</v>
      </c>
      <c r="D41" s="63" t="s">
        <v>280</v>
      </c>
      <c r="E41" s="63" t="s">
        <v>614</v>
      </c>
      <c r="F41" s="63" t="s">
        <v>83</v>
      </c>
      <c r="G41" s="63" t="s">
        <v>381</v>
      </c>
      <c r="H41" s="63" t="s">
        <v>379</v>
      </c>
      <c r="I41" s="85"/>
      <c r="J41" s="52">
        <v>0</v>
      </c>
      <c r="K41" s="76"/>
      <c r="L41" s="76"/>
      <c r="M41" s="71">
        <f t="shared" si="6"/>
        <v>0</v>
      </c>
      <c r="N41" s="53">
        <f>IFERROR(VLOOKUP(D41,Source_Grades!$A:$N,13,FALSE()),0)</f>
        <v>127</v>
      </c>
      <c r="O41" s="54">
        <f>IFERROR(VLOOKUP(D41,Source_Grades!$A:$V,22,FALSE())*100,0)</f>
        <v>66.666666666666657</v>
      </c>
      <c r="P41" s="55">
        <f>IFERROR(VLOOKUP(D41,Source_Grades!$A:$Z,25,FALSE())*20,0)</f>
        <v>80</v>
      </c>
      <c r="Q41" s="55">
        <f t="shared" si="0"/>
        <v>94.074074074074076</v>
      </c>
      <c r="R41" s="55">
        <f t="shared" si="1"/>
        <v>66.666666666666657</v>
      </c>
      <c r="S41" s="55">
        <f t="shared" si="2"/>
        <v>0</v>
      </c>
      <c r="T41" s="56">
        <f t="shared" si="3"/>
        <v>38.81481481481481</v>
      </c>
      <c r="U41" s="57" t="str">
        <f t="shared" si="4"/>
        <v>نعم</v>
      </c>
      <c r="V41" s="58" t="str">
        <f t="shared" si="5"/>
        <v>لم ينجح</v>
      </c>
    </row>
    <row r="42" spans="1:22" ht="15.7" customHeight="1" thickBot="1" x14ac:dyDescent="0.45">
      <c r="A42" s="87" t="s">
        <v>281</v>
      </c>
      <c r="B42" s="13">
        <v>1</v>
      </c>
      <c r="C42" s="14" t="s">
        <v>282</v>
      </c>
      <c r="D42" s="13" t="s">
        <v>283</v>
      </c>
      <c r="E42" s="13" t="s">
        <v>614</v>
      </c>
      <c r="F42" s="13" t="s">
        <v>83</v>
      </c>
      <c r="G42" s="13" t="s">
        <v>806</v>
      </c>
      <c r="H42" s="13" t="s">
        <v>807</v>
      </c>
      <c r="I42" s="86" t="s">
        <v>808</v>
      </c>
      <c r="J42" s="16">
        <v>0</v>
      </c>
      <c r="K42" s="90">
        <f>IFERROR(_xlfn.XLOOKUP(D42, Project_Scores!$D:$D, Project_Scores!$F:$F, 0), 0)</f>
        <v>0</v>
      </c>
      <c r="L42" s="90">
        <f>IFERROR(_xlfn.XLOOKUP(D42, Project_Scores!$D:$D, Project_Scores!$G:$G, 0), 0)</f>
        <v>0</v>
      </c>
      <c r="M42" s="71">
        <f t="shared" si="6"/>
        <v>0</v>
      </c>
      <c r="N42" s="22">
        <f>IFERROR(VLOOKUP(D42,Source_Grades!$A:$N,13,FALSE()),0)</f>
        <v>107</v>
      </c>
      <c r="O42" s="23">
        <f>IFERROR(VLOOKUP(D42,Source_Grades!$A:$V,22,FALSE())*100,0)</f>
        <v>83.333333333333343</v>
      </c>
      <c r="P42" s="27">
        <f>IFERROR(VLOOKUP(D42,Source_Grades!$A:$Z,25,FALSE())*20,0)</f>
        <v>100</v>
      </c>
      <c r="Q42" s="27">
        <f t="shared" si="0"/>
        <v>79.259259259259267</v>
      </c>
      <c r="R42" s="27">
        <f t="shared" si="1"/>
        <v>83.333333333333343</v>
      </c>
      <c r="S42" s="27">
        <f t="shared" si="2"/>
        <v>0</v>
      </c>
      <c r="T42" s="34">
        <f t="shared" si="3"/>
        <v>40.851851851851862</v>
      </c>
      <c r="U42" s="36" t="str">
        <f t="shared" si="4"/>
        <v>نعم</v>
      </c>
      <c r="V42" s="37" t="str">
        <f t="shared" si="5"/>
        <v>لم ينجح</v>
      </c>
    </row>
    <row r="43" spans="1:22" ht="15.7" customHeight="1" thickBot="1" x14ac:dyDescent="0.45">
      <c r="A43" s="78"/>
      <c r="B43" s="38">
        <v>2</v>
      </c>
      <c r="C43" s="39" t="s">
        <v>284</v>
      </c>
      <c r="D43" s="38" t="s">
        <v>285</v>
      </c>
      <c r="E43" s="38" t="s">
        <v>614</v>
      </c>
      <c r="F43" s="38" t="s">
        <v>83</v>
      </c>
      <c r="G43" s="38" t="s">
        <v>827</v>
      </c>
      <c r="H43" s="38" t="s">
        <v>828</v>
      </c>
      <c r="I43" s="75"/>
      <c r="J43" s="42">
        <v>0</v>
      </c>
      <c r="K43" s="75"/>
      <c r="L43" s="75"/>
      <c r="M43" s="71">
        <f t="shared" si="6"/>
        <v>0</v>
      </c>
      <c r="N43" s="44">
        <f>IFERROR(VLOOKUP(D43,Source_Grades!$A:$N,13,FALSE()),0)</f>
        <v>101</v>
      </c>
      <c r="O43" s="45">
        <f>IFERROR(VLOOKUP(D43,Source_Grades!$A:$V,22,FALSE())*100,0)</f>
        <v>83.333333333333343</v>
      </c>
      <c r="P43" s="46">
        <f>IFERROR(VLOOKUP(D43,Source_Grades!$A:$Z,25,FALSE())*20,0)</f>
        <v>100</v>
      </c>
      <c r="Q43" s="46">
        <f t="shared" si="0"/>
        <v>74.81481481481481</v>
      </c>
      <c r="R43" s="46">
        <f t="shared" si="1"/>
        <v>83.333333333333343</v>
      </c>
      <c r="S43" s="46">
        <f t="shared" si="2"/>
        <v>0</v>
      </c>
      <c r="T43" s="47">
        <f t="shared" si="3"/>
        <v>39.962962962962962</v>
      </c>
      <c r="U43" s="48" t="str">
        <f t="shared" si="4"/>
        <v>نعم</v>
      </c>
      <c r="V43" s="49" t="str">
        <f t="shared" si="5"/>
        <v>لم ينجح</v>
      </c>
    </row>
    <row r="44" spans="1:22" ht="15.7" customHeight="1" thickBot="1" x14ac:dyDescent="0.45">
      <c r="A44" s="78"/>
      <c r="B44" s="38">
        <v>3</v>
      </c>
      <c r="C44" s="39" t="s">
        <v>286</v>
      </c>
      <c r="D44" s="38" t="s">
        <v>287</v>
      </c>
      <c r="E44" s="38" t="s">
        <v>437</v>
      </c>
      <c r="F44" s="38" t="s">
        <v>845</v>
      </c>
      <c r="G44" s="38" t="s">
        <v>501</v>
      </c>
      <c r="H44" s="38" t="s">
        <v>496</v>
      </c>
      <c r="I44" s="75"/>
      <c r="J44" s="42">
        <v>0</v>
      </c>
      <c r="K44" s="75"/>
      <c r="L44" s="75"/>
      <c r="M44" s="71">
        <f t="shared" si="6"/>
        <v>0</v>
      </c>
      <c r="N44" s="44">
        <f>IFERROR(VLOOKUP(D44,Source_Grades!$A:$N,13,FALSE()),0)</f>
        <v>116</v>
      </c>
      <c r="O44" s="45">
        <f>IFERROR(VLOOKUP(D44,Source_Grades!$A:$V,22,FALSE())*100,0)</f>
        <v>66.666666666666657</v>
      </c>
      <c r="P44" s="46">
        <f>IFERROR(VLOOKUP(D44,Source_Grades!$A:$Z,25,FALSE())*20,0)</f>
        <v>80</v>
      </c>
      <c r="Q44" s="46">
        <f t="shared" si="0"/>
        <v>85.925925925925924</v>
      </c>
      <c r="R44" s="46">
        <f t="shared" si="1"/>
        <v>66.666666666666657</v>
      </c>
      <c r="S44" s="46">
        <f t="shared" si="2"/>
        <v>0</v>
      </c>
      <c r="T44" s="47">
        <f t="shared" si="3"/>
        <v>37.185185185185183</v>
      </c>
      <c r="U44" s="48" t="str">
        <f t="shared" si="4"/>
        <v>نعم</v>
      </c>
      <c r="V44" s="49" t="str">
        <f t="shared" si="5"/>
        <v>لم ينجح</v>
      </c>
    </row>
    <row r="45" spans="1:22" ht="15.7" customHeight="1" thickBot="1" x14ac:dyDescent="0.45">
      <c r="A45" s="78"/>
      <c r="B45" s="38">
        <v>4</v>
      </c>
      <c r="C45" s="39" t="s">
        <v>288</v>
      </c>
      <c r="D45" s="38" t="s">
        <v>289</v>
      </c>
      <c r="E45" s="38" t="s">
        <v>81</v>
      </c>
      <c r="F45" s="38" t="s">
        <v>83</v>
      </c>
      <c r="G45" s="38" t="s">
        <v>859</v>
      </c>
      <c r="H45" s="38" t="s">
        <v>860</v>
      </c>
      <c r="I45" s="75"/>
      <c r="J45" s="42">
        <v>0</v>
      </c>
      <c r="K45" s="75"/>
      <c r="L45" s="75"/>
      <c r="M45" s="71">
        <f t="shared" si="6"/>
        <v>0</v>
      </c>
      <c r="N45" s="44">
        <f>IFERROR(VLOOKUP(D45,Source_Grades!$A:$N,13,FALSE()),0)</f>
        <v>75</v>
      </c>
      <c r="O45" s="45">
        <f>IFERROR(VLOOKUP(D45,Source_Grades!$A:$V,22,FALSE())*100,0)</f>
        <v>83.333333333333343</v>
      </c>
      <c r="P45" s="46">
        <f>IFERROR(VLOOKUP(D45,Source_Grades!$A:$Z,25,FALSE())*20,0)</f>
        <v>100</v>
      </c>
      <c r="Q45" s="46">
        <f t="shared" si="0"/>
        <v>55.555555555555557</v>
      </c>
      <c r="R45" s="46">
        <f t="shared" si="1"/>
        <v>83.333333333333343</v>
      </c>
      <c r="S45" s="46">
        <f t="shared" si="2"/>
        <v>0</v>
      </c>
      <c r="T45" s="47">
        <f t="shared" si="3"/>
        <v>36.111111111111114</v>
      </c>
      <c r="U45" s="48" t="str">
        <f t="shared" si="4"/>
        <v>نعم</v>
      </c>
      <c r="V45" s="49" t="str">
        <f t="shared" si="5"/>
        <v>لم ينجح</v>
      </c>
    </row>
    <row r="46" spans="1:22" ht="15.7" customHeight="1" thickBot="1" x14ac:dyDescent="0.45">
      <c r="A46" s="88"/>
      <c r="B46" s="50">
        <v>5</v>
      </c>
      <c r="C46" s="51" t="s">
        <v>292</v>
      </c>
      <c r="D46" s="50" t="s">
        <v>293</v>
      </c>
      <c r="E46" s="50" t="s">
        <v>614</v>
      </c>
      <c r="F46" s="50" t="s">
        <v>83</v>
      </c>
      <c r="G46" s="50" t="s">
        <v>874</v>
      </c>
      <c r="H46" s="50" t="s">
        <v>875</v>
      </c>
      <c r="I46" s="85"/>
      <c r="J46" s="52">
        <v>0</v>
      </c>
      <c r="K46" s="76"/>
      <c r="L46" s="76"/>
      <c r="M46" s="71">
        <f t="shared" si="6"/>
        <v>0</v>
      </c>
      <c r="N46" s="53">
        <f>IFERROR(VLOOKUP(D46,Source_Grades!$A:$N,13,FALSE()),0)</f>
        <v>133</v>
      </c>
      <c r="O46" s="54">
        <f>IFERROR(VLOOKUP(D46,Source_Grades!$A:$V,22,FALSE())*100,0)</f>
        <v>83.333333333333343</v>
      </c>
      <c r="P46" s="55">
        <f>IFERROR(VLOOKUP(D46,Source_Grades!$A:$Z,25,FALSE())*20,0)</f>
        <v>100</v>
      </c>
      <c r="Q46" s="55">
        <f t="shared" si="0"/>
        <v>98.518518518518519</v>
      </c>
      <c r="R46" s="55">
        <f t="shared" si="1"/>
        <v>83.333333333333343</v>
      </c>
      <c r="S46" s="55">
        <f t="shared" si="2"/>
        <v>0</v>
      </c>
      <c r="T46" s="56">
        <f t="shared" si="3"/>
        <v>44.703703703703709</v>
      </c>
      <c r="U46" s="57" t="str">
        <f t="shared" si="4"/>
        <v>نعم</v>
      </c>
      <c r="V46" s="58" t="str">
        <f t="shared" si="5"/>
        <v>لم ينجح</v>
      </c>
    </row>
    <row r="47" spans="1:22" ht="15.7" customHeight="1" thickBot="1" x14ac:dyDescent="0.45">
      <c r="A47" s="89" t="s">
        <v>294</v>
      </c>
      <c r="B47" s="59">
        <v>1</v>
      </c>
      <c r="C47" s="60" t="s">
        <v>295</v>
      </c>
      <c r="D47" s="59" t="s">
        <v>296</v>
      </c>
      <c r="E47" s="59" t="s">
        <v>81</v>
      </c>
      <c r="F47" s="59" t="s">
        <v>83</v>
      </c>
      <c r="G47" s="59" t="s">
        <v>891</v>
      </c>
      <c r="H47" s="59" t="s">
        <v>893</v>
      </c>
      <c r="I47" s="84" t="s">
        <v>895</v>
      </c>
      <c r="J47" s="16">
        <v>0</v>
      </c>
      <c r="K47" s="90">
        <f>IFERROR(_xlfn.XLOOKUP(D47, Project_Scores!$D:$D, Project_Scores!$F:$F, 0), 0)</f>
        <v>0</v>
      </c>
      <c r="L47" s="90">
        <f>IFERROR(_xlfn.XLOOKUP(D47, Project_Scores!$D:$D, Project_Scores!$G:$G, 0), 0)</f>
        <v>0</v>
      </c>
      <c r="M47" s="71">
        <f t="shared" si="6"/>
        <v>0</v>
      </c>
      <c r="N47" s="22">
        <f>IFERROR(VLOOKUP(D47,Source_Grades!$A:$N,13,FALSE()),0)</f>
        <v>65</v>
      </c>
      <c r="O47" s="23">
        <f>IFERROR(VLOOKUP(D47,Source_Grades!$A:$V,22,FALSE())*100,0)</f>
        <v>66.666666666666657</v>
      </c>
      <c r="P47" s="27">
        <f>IFERROR(VLOOKUP(D47,Source_Grades!$A:$Z,25,FALSE())*20,0)</f>
        <v>80</v>
      </c>
      <c r="Q47" s="27">
        <f t="shared" si="0"/>
        <v>48.148148148148145</v>
      </c>
      <c r="R47" s="27">
        <f t="shared" si="1"/>
        <v>66.666666666666657</v>
      </c>
      <c r="S47" s="27">
        <f t="shared" si="2"/>
        <v>0</v>
      </c>
      <c r="T47" s="34">
        <f t="shared" si="3"/>
        <v>29.629629629629626</v>
      </c>
      <c r="U47" s="36" t="str">
        <f t="shared" si="4"/>
        <v>نعم</v>
      </c>
      <c r="V47" s="37" t="str">
        <f t="shared" si="5"/>
        <v>لم ينجح</v>
      </c>
    </row>
    <row r="48" spans="1:22" ht="15.7" customHeight="1" thickBot="1" x14ac:dyDescent="0.45">
      <c r="A48" s="78"/>
      <c r="B48" s="61">
        <v>2</v>
      </c>
      <c r="C48" s="62" t="s">
        <v>301</v>
      </c>
      <c r="D48" s="61" t="s">
        <v>303</v>
      </c>
      <c r="E48" s="61" t="s">
        <v>81</v>
      </c>
      <c r="F48" s="61" t="s">
        <v>83</v>
      </c>
      <c r="G48" s="61" t="s">
        <v>904</v>
      </c>
      <c r="H48" s="61" t="s">
        <v>905</v>
      </c>
      <c r="I48" s="75"/>
      <c r="J48" s="42">
        <v>0</v>
      </c>
      <c r="K48" s="75"/>
      <c r="L48" s="75"/>
      <c r="M48" s="71">
        <f t="shared" si="6"/>
        <v>0</v>
      </c>
      <c r="N48" s="44">
        <f>IFERROR(VLOOKUP(D48,Source_Grades!$A:$N,13,FALSE()),0)</f>
        <v>138</v>
      </c>
      <c r="O48" s="45">
        <f>IFERROR(VLOOKUP(D48,Source_Grades!$A:$V,22,FALSE())*100,0)</f>
        <v>83.333333333333343</v>
      </c>
      <c r="P48" s="46">
        <f>IFERROR(VLOOKUP(D48,Source_Grades!$A:$Z,25,FALSE())*20,0)</f>
        <v>100</v>
      </c>
      <c r="Q48" s="46">
        <f t="shared" si="0"/>
        <v>102.22222222222221</v>
      </c>
      <c r="R48" s="46">
        <f t="shared" si="1"/>
        <v>83.333333333333343</v>
      </c>
      <c r="S48" s="46">
        <f t="shared" si="2"/>
        <v>0</v>
      </c>
      <c r="T48" s="47">
        <f t="shared" si="3"/>
        <v>45.444444444444443</v>
      </c>
      <c r="U48" s="48" t="str">
        <f t="shared" si="4"/>
        <v>نعم</v>
      </c>
      <c r="V48" s="49" t="str">
        <f t="shared" si="5"/>
        <v>لم ينجح</v>
      </c>
    </row>
    <row r="49" spans="1:22" ht="15.7" customHeight="1" thickBot="1" x14ac:dyDescent="0.45">
      <c r="A49" s="78"/>
      <c r="B49" s="61">
        <v>3</v>
      </c>
      <c r="C49" s="62" t="s">
        <v>305</v>
      </c>
      <c r="D49" s="61" t="s">
        <v>306</v>
      </c>
      <c r="E49" s="61" t="s">
        <v>614</v>
      </c>
      <c r="F49" s="61" t="s">
        <v>83</v>
      </c>
      <c r="G49" s="61" t="s">
        <v>921</v>
      </c>
      <c r="H49" s="61" t="s">
        <v>922</v>
      </c>
      <c r="I49" s="75"/>
      <c r="J49" s="42">
        <v>0</v>
      </c>
      <c r="K49" s="75"/>
      <c r="L49" s="75"/>
      <c r="M49" s="71">
        <f t="shared" si="6"/>
        <v>0</v>
      </c>
      <c r="N49" s="44">
        <f>IFERROR(VLOOKUP(D49,Source_Grades!$A:$N,13,FALSE()),0)</f>
        <v>94</v>
      </c>
      <c r="O49" s="45">
        <f>IFERROR(VLOOKUP(D49,Source_Grades!$A:$V,22,FALSE())*100,0)</f>
        <v>83.333333333333343</v>
      </c>
      <c r="P49" s="46">
        <f>IFERROR(VLOOKUP(D49,Source_Grades!$A:$Z,25,FALSE())*20,0)</f>
        <v>100</v>
      </c>
      <c r="Q49" s="46">
        <f t="shared" si="0"/>
        <v>69.629629629629633</v>
      </c>
      <c r="R49" s="46">
        <f t="shared" si="1"/>
        <v>83.333333333333343</v>
      </c>
      <c r="S49" s="46">
        <f t="shared" si="2"/>
        <v>0</v>
      </c>
      <c r="T49" s="47">
        <f t="shared" si="3"/>
        <v>38.925925925925931</v>
      </c>
      <c r="U49" s="48" t="str">
        <f t="shared" si="4"/>
        <v>نعم</v>
      </c>
      <c r="V49" s="49" t="str">
        <f t="shared" si="5"/>
        <v>لم ينجح</v>
      </c>
    </row>
    <row r="50" spans="1:22" ht="15.7" customHeight="1" thickBot="1" x14ac:dyDescent="0.45">
      <c r="A50" s="78"/>
      <c r="B50" s="61">
        <v>4</v>
      </c>
      <c r="C50" s="62" t="s">
        <v>308</v>
      </c>
      <c r="D50" s="61" t="s">
        <v>309</v>
      </c>
      <c r="E50" s="61" t="s">
        <v>81</v>
      </c>
      <c r="F50" s="61" t="s">
        <v>83</v>
      </c>
      <c r="G50" s="61" t="s">
        <v>933</v>
      </c>
      <c r="H50" s="61" t="s">
        <v>934</v>
      </c>
      <c r="I50" s="75"/>
      <c r="J50" s="42">
        <v>0</v>
      </c>
      <c r="K50" s="75"/>
      <c r="L50" s="75"/>
      <c r="M50" s="71">
        <f t="shared" si="6"/>
        <v>0</v>
      </c>
      <c r="N50" s="44">
        <f>IFERROR(VLOOKUP(D50,Source_Grades!$A:$N,13,FALSE()),0)</f>
        <v>121</v>
      </c>
      <c r="O50" s="45">
        <f>IFERROR(VLOOKUP(D50,Source_Grades!$A:$V,22,FALSE())*100,0)</f>
        <v>66.666666666666657</v>
      </c>
      <c r="P50" s="46">
        <f>IFERROR(VLOOKUP(D50,Source_Grades!$A:$Z,25,FALSE())*20,0)</f>
        <v>80</v>
      </c>
      <c r="Q50" s="46">
        <f t="shared" si="0"/>
        <v>89.629629629629619</v>
      </c>
      <c r="R50" s="46">
        <f t="shared" si="1"/>
        <v>66.666666666666657</v>
      </c>
      <c r="S50" s="46">
        <f t="shared" si="2"/>
        <v>0</v>
      </c>
      <c r="T50" s="47">
        <f t="shared" si="3"/>
        <v>37.925925925925924</v>
      </c>
      <c r="U50" s="48" t="str">
        <f t="shared" si="4"/>
        <v>نعم</v>
      </c>
      <c r="V50" s="49" t="str">
        <f t="shared" si="5"/>
        <v>لم ينجح</v>
      </c>
    </row>
    <row r="51" spans="1:22" ht="15.7" customHeight="1" thickBot="1" x14ac:dyDescent="0.45">
      <c r="A51" s="88"/>
      <c r="B51" s="63">
        <v>5</v>
      </c>
      <c r="C51" s="64" t="s">
        <v>315</v>
      </c>
      <c r="D51" s="63" t="s">
        <v>317</v>
      </c>
      <c r="E51" s="63" t="s">
        <v>81</v>
      </c>
      <c r="F51" s="63" t="s">
        <v>83</v>
      </c>
      <c r="G51" s="63" t="s">
        <v>947</v>
      </c>
      <c r="H51" s="63" t="s">
        <v>819</v>
      </c>
      <c r="I51" s="85"/>
      <c r="J51" s="52">
        <v>0</v>
      </c>
      <c r="K51" s="76"/>
      <c r="L51" s="76"/>
      <c r="M51" s="71">
        <f t="shared" si="6"/>
        <v>0</v>
      </c>
      <c r="N51" s="53">
        <f>IFERROR(VLOOKUP(D51,Source_Grades!$A:$N,13,FALSE()),0)</f>
        <v>90</v>
      </c>
      <c r="O51" s="54">
        <f>IFERROR(VLOOKUP(D51,Source_Grades!$A:$V,22,FALSE())*100,0)</f>
        <v>83.333333333333343</v>
      </c>
      <c r="P51" s="55">
        <f>IFERROR(VLOOKUP(D51,Source_Grades!$A:$Z,25,FALSE())*20,0)</f>
        <v>100</v>
      </c>
      <c r="Q51" s="55">
        <f t="shared" si="0"/>
        <v>66.666666666666657</v>
      </c>
      <c r="R51" s="55">
        <f t="shared" si="1"/>
        <v>83.333333333333343</v>
      </c>
      <c r="S51" s="55">
        <f t="shared" si="2"/>
        <v>0</v>
      </c>
      <c r="T51" s="56">
        <f t="shared" si="3"/>
        <v>38.333333333333336</v>
      </c>
      <c r="U51" s="57" t="str">
        <f t="shared" si="4"/>
        <v>نعم</v>
      </c>
      <c r="V51" s="58" t="str">
        <f t="shared" si="5"/>
        <v>لم ينجح</v>
      </c>
    </row>
    <row r="52" spans="1:22" ht="15.7" customHeight="1" thickBot="1" x14ac:dyDescent="0.45">
      <c r="A52" s="87" t="s">
        <v>318</v>
      </c>
      <c r="B52" s="13">
        <v>1</v>
      </c>
      <c r="C52" s="14" t="s">
        <v>319</v>
      </c>
      <c r="D52" s="13" t="s">
        <v>320</v>
      </c>
      <c r="E52" s="13" t="s">
        <v>81</v>
      </c>
      <c r="F52" s="13" t="s">
        <v>83</v>
      </c>
      <c r="G52" s="13" t="s">
        <v>956</v>
      </c>
      <c r="H52" s="13" t="s">
        <v>954</v>
      </c>
      <c r="I52" s="86" t="s">
        <v>957</v>
      </c>
      <c r="J52" s="16">
        <v>0</v>
      </c>
      <c r="K52" s="90">
        <f>IFERROR(_xlfn.XLOOKUP(D52, Project_Scores!$D:$D, Project_Scores!$F:$F, 0), 0)</f>
        <v>0</v>
      </c>
      <c r="L52" s="90">
        <f>IFERROR(_xlfn.XLOOKUP(D52, Project_Scores!$D:$D, Project_Scores!$G:$G, 0), 0)</f>
        <v>0</v>
      </c>
      <c r="M52" s="71">
        <f t="shared" si="6"/>
        <v>0</v>
      </c>
      <c r="N52" s="22">
        <f>IFERROR(VLOOKUP(D52,Source_Grades!$A:$N,13,FALSE()),0)</f>
        <v>110</v>
      </c>
      <c r="O52" s="23">
        <f>IFERROR(VLOOKUP(D52,Source_Grades!$A:$V,22,FALSE())*100,0)</f>
        <v>83.333333333333343</v>
      </c>
      <c r="P52" s="27">
        <f>IFERROR(VLOOKUP(D52,Source_Grades!$A:$Z,25,FALSE())*20,0)</f>
        <v>100</v>
      </c>
      <c r="Q52" s="27">
        <f t="shared" si="0"/>
        <v>81.481481481481481</v>
      </c>
      <c r="R52" s="27">
        <f t="shared" si="1"/>
        <v>83.333333333333343</v>
      </c>
      <c r="S52" s="27">
        <f t="shared" si="2"/>
        <v>0</v>
      </c>
      <c r="T52" s="34">
        <f t="shared" si="3"/>
        <v>41.296296296296305</v>
      </c>
      <c r="U52" s="36" t="str">
        <f t="shared" si="4"/>
        <v>نعم</v>
      </c>
      <c r="V52" s="37" t="str">
        <f t="shared" si="5"/>
        <v>لم ينجح</v>
      </c>
    </row>
    <row r="53" spans="1:22" ht="15.7" customHeight="1" thickBot="1" x14ac:dyDescent="0.45">
      <c r="A53" s="78"/>
      <c r="B53" s="38">
        <v>2</v>
      </c>
      <c r="C53" s="39" t="s">
        <v>327</v>
      </c>
      <c r="D53" s="38" t="s">
        <v>328</v>
      </c>
      <c r="E53" s="38" t="s">
        <v>437</v>
      </c>
      <c r="F53" s="38" t="s">
        <v>969</v>
      </c>
      <c r="G53" s="38" t="s">
        <v>621</v>
      </c>
      <c r="H53" s="38" t="s">
        <v>619</v>
      </c>
      <c r="I53" s="75"/>
      <c r="J53" s="42">
        <v>0</v>
      </c>
      <c r="K53" s="75"/>
      <c r="L53" s="75"/>
      <c r="M53" s="71">
        <f t="shared" si="6"/>
        <v>0</v>
      </c>
      <c r="N53" s="44">
        <f>IFERROR(VLOOKUP(D53,Source_Grades!$A:$N,13,FALSE()),0)</f>
        <v>140</v>
      </c>
      <c r="O53" s="45">
        <f>IFERROR(VLOOKUP(D53,Source_Grades!$A:$V,22,FALSE())*100,0)</f>
        <v>83.333333333333343</v>
      </c>
      <c r="P53" s="46">
        <f>IFERROR(VLOOKUP(D53,Source_Grades!$A:$Z,25,FALSE())*20,0)</f>
        <v>100</v>
      </c>
      <c r="Q53" s="46">
        <f t="shared" si="0"/>
        <v>103.7037037037037</v>
      </c>
      <c r="R53" s="46">
        <f t="shared" si="1"/>
        <v>83.333333333333343</v>
      </c>
      <c r="S53" s="46">
        <f t="shared" si="2"/>
        <v>0</v>
      </c>
      <c r="T53" s="47">
        <f t="shared" si="3"/>
        <v>45.740740740740748</v>
      </c>
      <c r="U53" s="48" t="str">
        <f t="shared" si="4"/>
        <v>نعم</v>
      </c>
      <c r="V53" s="49" t="str">
        <f t="shared" si="5"/>
        <v>لم ينجح</v>
      </c>
    </row>
    <row r="54" spans="1:22" ht="15.7" customHeight="1" thickBot="1" x14ac:dyDescent="0.45">
      <c r="A54" s="78"/>
      <c r="B54" s="38">
        <v>3</v>
      </c>
      <c r="C54" s="39" t="s">
        <v>329</v>
      </c>
      <c r="D54" s="38" t="s">
        <v>330</v>
      </c>
      <c r="E54" s="38" t="s">
        <v>81</v>
      </c>
      <c r="F54" s="38" t="s">
        <v>83</v>
      </c>
      <c r="G54" s="38" t="s">
        <v>552</v>
      </c>
      <c r="H54" s="38" t="s">
        <v>548</v>
      </c>
      <c r="I54" s="75"/>
      <c r="J54" s="42">
        <v>0</v>
      </c>
      <c r="K54" s="75"/>
      <c r="L54" s="75"/>
      <c r="M54" s="71">
        <f t="shared" si="6"/>
        <v>0</v>
      </c>
      <c r="N54" s="44">
        <f>IFERROR(VLOOKUP(D54,Source_Grades!$A:$N,13,FALSE()),0)</f>
        <v>75</v>
      </c>
      <c r="O54" s="45">
        <f>IFERROR(VLOOKUP(D54,Source_Grades!$A:$V,22,FALSE())*100,0)</f>
        <v>83.333333333333343</v>
      </c>
      <c r="P54" s="46">
        <f>IFERROR(VLOOKUP(D54,Source_Grades!$A:$Z,25,FALSE())*20,0)</f>
        <v>100</v>
      </c>
      <c r="Q54" s="46">
        <f t="shared" si="0"/>
        <v>55.555555555555557</v>
      </c>
      <c r="R54" s="46">
        <f t="shared" si="1"/>
        <v>83.333333333333343</v>
      </c>
      <c r="S54" s="46">
        <f t="shared" si="2"/>
        <v>0</v>
      </c>
      <c r="T54" s="47">
        <f t="shared" si="3"/>
        <v>36.111111111111114</v>
      </c>
      <c r="U54" s="48" t="str">
        <f t="shared" si="4"/>
        <v>نعم</v>
      </c>
      <c r="V54" s="49" t="str">
        <f t="shared" si="5"/>
        <v>لم ينجح</v>
      </c>
    </row>
    <row r="55" spans="1:22" ht="15.7" customHeight="1" thickBot="1" x14ac:dyDescent="0.45">
      <c r="A55" s="78"/>
      <c r="B55" s="38">
        <v>4</v>
      </c>
      <c r="C55" s="39" t="s">
        <v>127</v>
      </c>
      <c r="D55" s="38" t="s">
        <v>125</v>
      </c>
      <c r="E55" s="38" t="s">
        <v>81</v>
      </c>
      <c r="F55" s="38" t="s">
        <v>83</v>
      </c>
      <c r="G55" s="38" t="s">
        <v>131</v>
      </c>
      <c r="H55" s="38" t="s">
        <v>129</v>
      </c>
      <c r="I55" s="75"/>
      <c r="J55" s="42">
        <v>0</v>
      </c>
      <c r="K55" s="75"/>
      <c r="L55" s="75"/>
      <c r="M55" s="71">
        <f t="shared" si="6"/>
        <v>0</v>
      </c>
      <c r="N55" s="44">
        <f>IFERROR(VLOOKUP(D55,Source_Grades!$A:$N,13,FALSE()),0)</f>
        <v>96</v>
      </c>
      <c r="O55" s="45">
        <f>IFERROR(VLOOKUP(D55,Source_Grades!$A:$V,22,FALSE())*100,0)</f>
        <v>83.333333333333343</v>
      </c>
      <c r="P55" s="46">
        <f>IFERROR(VLOOKUP(D55,Source_Grades!$A:$Z,25,FALSE())*20,0)</f>
        <v>100</v>
      </c>
      <c r="Q55" s="46">
        <f t="shared" si="0"/>
        <v>71.111111111111114</v>
      </c>
      <c r="R55" s="46">
        <f t="shared" si="1"/>
        <v>83.333333333333343</v>
      </c>
      <c r="S55" s="46">
        <f t="shared" si="2"/>
        <v>0</v>
      </c>
      <c r="T55" s="47">
        <f t="shared" si="3"/>
        <v>39.222222222222229</v>
      </c>
      <c r="U55" s="48" t="str">
        <f t="shared" si="4"/>
        <v>نعم</v>
      </c>
      <c r="V55" s="49" t="str">
        <f t="shared" si="5"/>
        <v>لم ينجح</v>
      </c>
    </row>
    <row r="56" spans="1:22" ht="15.7" customHeight="1" thickBot="1" x14ac:dyDescent="0.45">
      <c r="A56" s="88"/>
      <c r="B56" s="50">
        <v>5</v>
      </c>
      <c r="C56" s="51" t="s">
        <v>336</v>
      </c>
      <c r="D56" s="50" t="s">
        <v>337</v>
      </c>
      <c r="E56" s="50" t="s">
        <v>81</v>
      </c>
      <c r="F56" s="50" t="s">
        <v>83</v>
      </c>
      <c r="G56" s="50" t="s">
        <v>826</v>
      </c>
      <c r="H56" s="50" t="s">
        <v>824</v>
      </c>
      <c r="I56" s="85"/>
      <c r="J56" s="52">
        <v>0</v>
      </c>
      <c r="K56" s="76"/>
      <c r="L56" s="76"/>
      <c r="M56" s="71">
        <f t="shared" si="6"/>
        <v>0</v>
      </c>
      <c r="N56" s="53">
        <f>IFERROR(VLOOKUP(D56,Source_Grades!$A:$N,13,FALSE()),0)</f>
        <v>0</v>
      </c>
      <c r="O56" s="54">
        <f>IFERROR(VLOOKUP(D56,Source_Grades!$A:$V,22,FALSE())*100,0)</f>
        <v>66.666666666666657</v>
      </c>
      <c r="P56" s="55">
        <f>IFERROR(VLOOKUP(D56,Source_Grades!$A:$Z,25,FALSE())*20,0)</f>
        <v>80</v>
      </c>
      <c r="Q56" s="55">
        <f t="shared" si="0"/>
        <v>0</v>
      </c>
      <c r="R56" s="55">
        <f t="shared" si="1"/>
        <v>66.666666666666657</v>
      </c>
      <c r="S56" s="55">
        <f t="shared" si="2"/>
        <v>0</v>
      </c>
      <c r="T56" s="56">
        <f t="shared" si="3"/>
        <v>19.999999999999996</v>
      </c>
      <c r="U56" s="57" t="str">
        <f t="shared" si="4"/>
        <v>نعم</v>
      </c>
      <c r="V56" s="58" t="str">
        <f t="shared" si="5"/>
        <v>لم ينجح</v>
      </c>
    </row>
    <row r="57" spans="1:22" ht="15.7" customHeight="1" thickBot="1" x14ac:dyDescent="0.45">
      <c r="A57" s="89" t="s">
        <v>347</v>
      </c>
      <c r="B57" s="59">
        <v>1</v>
      </c>
      <c r="C57" s="60" t="s">
        <v>348</v>
      </c>
      <c r="D57" s="59" t="s">
        <v>349</v>
      </c>
      <c r="E57" s="59" t="s">
        <v>614</v>
      </c>
      <c r="F57" s="59" t="s">
        <v>83</v>
      </c>
      <c r="G57" s="59" t="s">
        <v>1009</v>
      </c>
      <c r="H57" s="59" t="s">
        <v>1007</v>
      </c>
      <c r="I57" s="84" t="s">
        <v>1010</v>
      </c>
      <c r="J57" s="16">
        <v>0</v>
      </c>
      <c r="K57" s="90">
        <f>IFERROR(_xlfn.XLOOKUP(D57, Project_Scores!$D:$D, Project_Scores!$F:$F, 0), 0)</f>
        <v>0</v>
      </c>
      <c r="L57" s="90">
        <f>IFERROR(_xlfn.XLOOKUP(D57, Project_Scores!$D:$D, Project_Scores!$G:$G, 0), 0)</f>
        <v>0</v>
      </c>
      <c r="M57" s="71">
        <f t="shared" si="6"/>
        <v>0</v>
      </c>
      <c r="N57" s="22">
        <f>IFERROR(VLOOKUP(D57,Source_Grades!$A:$N,13,FALSE()),0)</f>
        <v>130</v>
      </c>
      <c r="O57" s="23">
        <f>IFERROR(VLOOKUP(D57,Source_Grades!$A:$V,22,FALSE())*100,0)</f>
        <v>83.333333333333343</v>
      </c>
      <c r="P57" s="27">
        <f>IFERROR(VLOOKUP(D57,Source_Grades!$A:$Z,25,FALSE())*20,0)</f>
        <v>100</v>
      </c>
      <c r="Q57" s="27">
        <f t="shared" si="0"/>
        <v>96.296296296296291</v>
      </c>
      <c r="R57" s="27">
        <f t="shared" si="1"/>
        <v>83.333333333333343</v>
      </c>
      <c r="S57" s="27">
        <f t="shared" si="2"/>
        <v>0</v>
      </c>
      <c r="T57" s="34">
        <f t="shared" si="3"/>
        <v>44.259259259259267</v>
      </c>
      <c r="U57" s="36" t="str">
        <f t="shared" si="4"/>
        <v>نعم</v>
      </c>
      <c r="V57" s="37" t="str">
        <f t="shared" si="5"/>
        <v>لم ينجح</v>
      </c>
    </row>
    <row r="58" spans="1:22" ht="15.7" customHeight="1" thickBot="1" x14ac:dyDescent="0.45">
      <c r="A58" s="78"/>
      <c r="B58" s="61">
        <v>2</v>
      </c>
      <c r="C58" s="62" t="s">
        <v>352</v>
      </c>
      <c r="D58" s="61" t="s">
        <v>354</v>
      </c>
      <c r="E58" s="61" t="s">
        <v>81</v>
      </c>
      <c r="F58" s="61" t="s">
        <v>83</v>
      </c>
      <c r="G58" s="61" t="s">
        <v>1011</v>
      </c>
      <c r="H58" s="61" t="s">
        <v>995</v>
      </c>
      <c r="I58" s="75"/>
      <c r="J58" s="42">
        <v>0</v>
      </c>
      <c r="K58" s="75"/>
      <c r="L58" s="75"/>
      <c r="M58" s="71">
        <f t="shared" si="6"/>
        <v>0</v>
      </c>
      <c r="N58" s="44">
        <f>IFERROR(VLOOKUP(D58,Source_Grades!$A:$N,13,FALSE()),0)</f>
        <v>130</v>
      </c>
      <c r="O58" s="45">
        <f>IFERROR(VLOOKUP(D58,Source_Grades!$A:$V,22,FALSE())*100,0)</f>
        <v>83.333333333333343</v>
      </c>
      <c r="P58" s="46">
        <f>IFERROR(VLOOKUP(D58,Source_Grades!$A:$Z,25,FALSE())*20,0)</f>
        <v>100</v>
      </c>
      <c r="Q58" s="46">
        <f t="shared" si="0"/>
        <v>96.296296296296291</v>
      </c>
      <c r="R58" s="46">
        <f t="shared" si="1"/>
        <v>83.333333333333343</v>
      </c>
      <c r="S58" s="46">
        <f t="shared" si="2"/>
        <v>0</v>
      </c>
      <c r="T58" s="47">
        <f t="shared" si="3"/>
        <v>44.259259259259267</v>
      </c>
      <c r="U58" s="48" t="str">
        <f t="shared" si="4"/>
        <v>نعم</v>
      </c>
      <c r="V58" s="49" t="str">
        <f t="shared" si="5"/>
        <v>لم ينجح</v>
      </c>
    </row>
    <row r="59" spans="1:22" ht="15.7" customHeight="1" thickBot="1" x14ac:dyDescent="0.45">
      <c r="A59" s="78"/>
      <c r="B59" s="61">
        <v>3</v>
      </c>
      <c r="C59" s="62" t="s">
        <v>358</v>
      </c>
      <c r="D59" s="61" t="s">
        <v>359</v>
      </c>
      <c r="E59" s="61" t="s">
        <v>437</v>
      </c>
      <c r="F59" s="61" t="s">
        <v>845</v>
      </c>
      <c r="G59" s="61" t="s">
        <v>1012</v>
      </c>
      <c r="H59" s="61" t="s">
        <v>1013</v>
      </c>
      <c r="I59" s="75"/>
      <c r="J59" s="42">
        <v>0</v>
      </c>
      <c r="K59" s="75"/>
      <c r="L59" s="75"/>
      <c r="M59" s="71">
        <f t="shared" si="6"/>
        <v>0</v>
      </c>
      <c r="N59" s="44">
        <f>IFERROR(VLOOKUP(D59,Source_Grades!$A:$N,13,FALSE()),0)</f>
        <v>98</v>
      </c>
      <c r="O59" s="45">
        <f>IFERROR(VLOOKUP(D59,Source_Grades!$A:$V,22,FALSE())*100,0)</f>
        <v>83.333333333333343</v>
      </c>
      <c r="P59" s="46">
        <f>IFERROR(VLOOKUP(D59,Source_Grades!$A:$Z,25,FALSE())*20,0)</f>
        <v>100</v>
      </c>
      <c r="Q59" s="46">
        <f t="shared" si="0"/>
        <v>72.592592592592595</v>
      </c>
      <c r="R59" s="46">
        <f t="shared" si="1"/>
        <v>83.333333333333343</v>
      </c>
      <c r="S59" s="46">
        <f t="shared" si="2"/>
        <v>0</v>
      </c>
      <c r="T59" s="47">
        <f t="shared" si="3"/>
        <v>39.518518518518519</v>
      </c>
      <c r="U59" s="48" t="str">
        <f t="shared" si="4"/>
        <v>نعم</v>
      </c>
      <c r="V59" s="49" t="str">
        <f t="shared" si="5"/>
        <v>لم ينجح</v>
      </c>
    </row>
    <row r="60" spans="1:22" ht="15.7" customHeight="1" thickBot="1" x14ac:dyDescent="0.45">
      <c r="A60" s="78"/>
      <c r="B60" s="61">
        <v>4</v>
      </c>
      <c r="C60" s="62" t="s">
        <v>362</v>
      </c>
      <c r="D60" s="61" t="s">
        <v>363</v>
      </c>
      <c r="E60" s="61" t="s">
        <v>81</v>
      </c>
      <c r="F60" s="61" t="s">
        <v>83</v>
      </c>
      <c r="G60" s="61" t="s">
        <v>1014</v>
      </c>
      <c r="H60" s="61" t="s">
        <v>1015</v>
      </c>
      <c r="I60" s="75"/>
      <c r="J60" s="42">
        <v>0</v>
      </c>
      <c r="K60" s="75"/>
      <c r="L60" s="75"/>
      <c r="M60" s="71">
        <f t="shared" si="6"/>
        <v>0</v>
      </c>
      <c r="N60" s="44">
        <f>IFERROR(VLOOKUP(D60,Source_Grades!$A:$N,13,FALSE()),0)</f>
        <v>109</v>
      </c>
      <c r="O60" s="45">
        <f>IFERROR(VLOOKUP(D60,Source_Grades!$A:$V,22,FALSE())*100,0)</f>
        <v>83.333333333333343</v>
      </c>
      <c r="P60" s="46">
        <f>IFERROR(VLOOKUP(D60,Source_Grades!$A:$Z,25,FALSE())*20,0)</f>
        <v>100</v>
      </c>
      <c r="Q60" s="46">
        <f t="shared" si="0"/>
        <v>80.740740740740748</v>
      </c>
      <c r="R60" s="46">
        <f t="shared" si="1"/>
        <v>83.333333333333343</v>
      </c>
      <c r="S60" s="46">
        <f t="shared" si="2"/>
        <v>0</v>
      </c>
      <c r="T60" s="47">
        <f t="shared" si="3"/>
        <v>41.148148148148152</v>
      </c>
      <c r="U60" s="48" t="str">
        <f t="shared" si="4"/>
        <v>نعم</v>
      </c>
      <c r="V60" s="49" t="str">
        <f t="shared" si="5"/>
        <v>لم ينجح</v>
      </c>
    </row>
    <row r="61" spans="1:22" ht="15.7" customHeight="1" thickBot="1" x14ac:dyDescent="0.45">
      <c r="A61" s="88"/>
      <c r="B61" s="63">
        <v>5</v>
      </c>
      <c r="C61" s="64" t="s">
        <v>370</v>
      </c>
      <c r="D61" s="63" t="s">
        <v>371</v>
      </c>
      <c r="E61" s="63" t="s">
        <v>614</v>
      </c>
      <c r="F61" s="63" t="s">
        <v>1016</v>
      </c>
      <c r="G61" s="63" t="s">
        <v>932</v>
      </c>
      <c r="H61" s="63" t="s">
        <v>930</v>
      </c>
      <c r="I61" s="85"/>
      <c r="J61" s="52">
        <v>0</v>
      </c>
      <c r="K61" s="76"/>
      <c r="L61" s="76"/>
      <c r="M61" s="71">
        <f t="shared" si="6"/>
        <v>0</v>
      </c>
      <c r="N61" s="53">
        <f>IFERROR(VLOOKUP(D61,Source_Grades!$A:$N,13,FALSE()),0)</f>
        <v>145</v>
      </c>
      <c r="O61" s="54">
        <f>IFERROR(VLOOKUP(D61,Source_Grades!$A:$V,22,FALSE())*100,0)</f>
        <v>66.666666666666657</v>
      </c>
      <c r="P61" s="55">
        <f>IFERROR(VLOOKUP(D61,Source_Grades!$A:$Z,25,FALSE())*20,0)</f>
        <v>80</v>
      </c>
      <c r="Q61" s="55">
        <f t="shared" si="0"/>
        <v>107.40740740740742</v>
      </c>
      <c r="R61" s="55">
        <f t="shared" si="1"/>
        <v>66.666666666666657</v>
      </c>
      <c r="S61" s="55">
        <f t="shared" si="2"/>
        <v>0</v>
      </c>
      <c r="T61" s="56">
        <f t="shared" si="3"/>
        <v>41.481481481481481</v>
      </c>
      <c r="U61" s="57" t="str">
        <f t="shared" si="4"/>
        <v>نعم</v>
      </c>
      <c r="V61" s="58" t="str">
        <f t="shared" si="5"/>
        <v>لم ينجح</v>
      </c>
    </row>
    <row r="62" spans="1:22" ht="15.7" customHeight="1" thickBot="1" x14ac:dyDescent="0.45">
      <c r="A62" s="87" t="s">
        <v>372</v>
      </c>
      <c r="B62" s="13">
        <v>1</v>
      </c>
      <c r="C62" s="14" t="s">
        <v>373</v>
      </c>
      <c r="D62" s="13" t="s">
        <v>310</v>
      </c>
      <c r="E62" s="13" t="s">
        <v>614</v>
      </c>
      <c r="F62" s="13" t="s">
        <v>83</v>
      </c>
      <c r="G62" s="13" t="s">
        <v>316</v>
      </c>
      <c r="H62" s="13" t="s">
        <v>313</v>
      </c>
      <c r="I62" s="86" t="s">
        <v>1017</v>
      </c>
      <c r="J62" s="16">
        <v>0</v>
      </c>
      <c r="K62" s="90">
        <f>IFERROR(_xlfn.XLOOKUP(D62, Project_Scores!$D:$D, Project_Scores!$F:$F, 0), 0)</f>
        <v>0</v>
      </c>
      <c r="L62" s="90">
        <f>IFERROR(_xlfn.XLOOKUP(D62, Project_Scores!$D:$D, Project_Scores!$G:$G, 0), 0)</f>
        <v>0</v>
      </c>
      <c r="M62" s="71">
        <f t="shared" si="6"/>
        <v>0</v>
      </c>
      <c r="N62" s="22">
        <f>IFERROR(VLOOKUP(D62,Source_Grades!$A:$N,13,FALSE()),0)</f>
        <v>80</v>
      </c>
      <c r="O62" s="23">
        <f>IFERROR(VLOOKUP(D62,Source_Grades!$A:$V,22,FALSE())*100,0)</f>
        <v>83.333333333333343</v>
      </c>
      <c r="P62" s="27">
        <f>IFERROR(VLOOKUP(D62,Source_Grades!$A:$Z,25,FALSE())*20,0)</f>
        <v>100</v>
      </c>
      <c r="Q62" s="27">
        <f t="shared" si="0"/>
        <v>59.259259259259252</v>
      </c>
      <c r="R62" s="27">
        <f t="shared" si="1"/>
        <v>83.333333333333343</v>
      </c>
      <c r="S62" s="27">
        <f t="shared" si="2"/>
        <v>0</v>
      </c>
      <c r="T62" s="34">
        <f t="shared" si="3"/>
        <v>36.851851851851855</v>
      </c>
      <c r="U62" s="36" t="str">
        <f t="shared" si="4"/>
        <v>نعم</v>
      </c>
      <c r="V62" s="37" t="str">
        <f t="shared" si="5"/>
        <v>لم ينجح</v>
      </c>
    </row>
    <row r="63" spans="1:22" ht="15.7" customHeight="1" thickBot="1" x14ac:dyDescent="0.45">
      <c r="A63" s="78"/>
      <c r="B63" s="38">
        <v>2</v>
      </c>
      <c r="C63" s="39" t="s">
        <v>382</v>
      </c>
      <c r="D63" s="38" t="s">
        <v>383</v>
      </c>
      <c r="E63" s="38" t="s">
        <v>614</v>
      </c>
      <c r="F63" s="38" t="s">
        <v>83</v>
      </c>
      <c r="G63" s="38" t="s">
        <v>647</v>
      </c>
      <c r="H63" s="38" t="s">
        <v>644</v>
      </c>
      <c r="I63" s="75"/>
      <c r="J63" s="42">
        <v>0</v>
      </c>
      <c r="K63" s="75"/>
      <c r="L63" s="75"/>
      <c r="M63" s="71">
        <f t="shared" si="6"/>
        <v>0</v>
      </c>
      <c r="N63" s="44">
        <f>IFERROR(VLOOKUP(D63,Source_Grades!$A:$N,13,FALSE()),0)</f>
        <v>80</v>
      </c>
      <c r="O63" s="45">
        <f>IFERROR(VLOOKUP(D63,Source_Grades!$A:$V,22,FALSE())*100,0)</f>
        <v>83.333333333333343</v>
      </c>
      <c r="P63" s="46">
        <f>IFERROR(VLOOKUP(D63,Source_Grades!$A:$Z,25,FALSE())*20,0)</f>
        <v>100</v>
      </c>
      <c r="Q63" s="46">
        <f t="shared" si="0"/>
        <v>59.259259259259252</v>
      </c>
      <c r="R63" s="46">
        <f t="shared" si="1"/>
        <v>83.333333333333343</v>
      </c>
      <c r="S63" s="46">
        <f t="shared" si="2"/>
        <v>0</v>
      </c>
      <c r="T63" s="47">
        <f t="shared" si="3"/>
        <v>36.851851851851855</v>
      </c>
      <c r="U63" s="48" t="str">
        <f t="shared" si="4"/>
        <v>نعم</v>
      </c>
      <c r="V63" s="49" t="str">
        <f t="shared" si="5"/>
        <v>لم ينجح</v>
      </c>
    </row>
    <row r="64" spans="1:22" ht="15.7" customHeight="1" thickBot="1" x14ac:dyDescent="0.45">
      <c r="A64" s="78"/>
      <c r="B64" s="38">
        <v>3</v>
      </c>
      <c r="C64" s="39" t="s">
        <v>386</v>
      </c>
      <c r="D64" s="38" t="s">
        <v>387</v>
      </c>
      <c r="E64" s="38" t="s">
        <v>614</v>
      </c>
      <c r="F64" s="38" t="s">
        <v>83</v>
      </c>
      <c r="G64" s="38" t="s">
        <v>1018</v>
      </c>
      <c r="H64" s="38" t="s">
        <v>1019</v>
      </c>
      <c r="I64" s="75"/>
      <c r="J64" s="42">
        <v>0</v>
      </c>
      <c r="K64" s="75"/>
      <c r="L64" s="75"/>
      <c r="M64" s="71">
        <f t="shared" si="6"/>
        <v>0</v>
      </c>
      <c r="N64" s="44">
        <f>IFERROR(VLOOKUP(D64,Source_Grades!$A:$N,13,FALSE()),0)</f>
        <v>120</v>
      </c>
      <c r="O64" s="45">
        <f>IFERROR(VLOOKUP(D64,Source_Grades!$A:$V,22,FALSE())*100,0)</f>
        <v>66.666666666666657</v>
      </c>
      <c r="P64" s="46">
        <f>IFERROR(VLOOKUP(D64,Source_Grades!$A:$Z,25,FALSE())*20,0)</f>
        <v>80</v>
      </c>
      <c r="Q64" s="46">
        <f t="shared" si="0"/>
        <v>88.888888888888886</v>
      </c>
      <c r="R64" s="46">
        <f t="shared" si="1"/>
        <v>66.666666666666657</v>
      </c>
      <c r="S64" s="46">
        <f t="shared" si="2"/>
        <v>0</v>
      </c>
      <c r="T64" s="47">
        <f t="shared" si="3"/>
        <v>37.777777777777771</v>
      </c>
      <c r="U64" s="48" t="str">
        <f t="shared" si="4"/>
        <v>نعم</v>
      </c>
      <c r="V64" s="49" t="str">
        <f t="shared" si="5"/>
        <v>لم ينجح</v>
      </c>
    </row>
    <row r="65" spans="1:22" ht="15.7" customHeight="1" thickBot="1" x14ac:dyDescent="0.45">
      <c r="A65" s="78"/>
      <c r="B65" s="38">
        <v>4</v>
      </c>
      <c r="C65" s="39" t="s">
        <v>393</v>
      </c>
      <c r="D65" s="38" t="s">
        <v>394</v>
      </c>
      <c r="E65" s="38" t="s">
        <v>614</v>
      </c>
      <c r="F65" s="38" t="s">
        <v>83</v>
      </c>
      <c r="G65" s="38" t="s">
        <v>1020</v>
      </c>
      <c r="H65" s="38" t="s">
        <v>1021</v>
      </c>
      <c r="I65" s="75"/>
      <c r="J65" s="42">
        <v>0</v>
      </c>
      <c r="K65" s="75"/>
      <c r="L65" s="75"/>
      <c r="M65" s="71">
        <f t="shared" si="6"/>
        <v>0</v>
      </c>
      <c r="N65" s="44">
        <f>IFERROR(VLOOKUP(D65,Source_Grades!$A:$N,13,FALSE()),0)</f>
        <v>124</v>
      </c>
      <c r="O65" s="45">
        <f>IFERROR(VLOOKUP(D65,Source_Grades!$A:$V,22,FALSE())*100,0)</f>
        <v>66.666666666666657</v>
      </c>
      <c r="P65" s="46">
        <f>IFERROR(VLOOKUP(D65,Source_Grades!$A:$Z,25,FALSE())*20,0)</f>
        <v>80</v>
      </c>
      <c r="Q65" s="46">
        <f t="shared" si="0"/>
        <v>91.851851851851848</v>
      </c>
      <c r="R65" s="46">
        <f t="shared" si="1"/>
        <v>66.666666666666657</v>
      </c>
      <c r="S65" s="46">
        <f t="shared" si="2"/>
        <v>0</v>
      </c>
      <c r="T65" s="47">
        <f t="shared" si="3"/>
        <v>38.370370370370367</v>
      </c>
      <c r="U65" s="48" t="str">
        <f t="shared" si="4"/>
        <v>نعم</v>
      </c>
      <c r="V65" s="49" t="str">
        <f t="shared" si="5"/>
        <v>لم ينجح</v>
      </c>
    </row>
    <row r="66" spans="1:22" ht="15.7" customHeight="1" thickBot="1" x14ac:dyDescent="0.45">
      <c r="A66" s="88"/>
      <c r="B66" s="50">
        <v>5</v>
      </c>
      <c r="C66" s="51" t="s">
        <v>395</v>
      </c>
      <c r="D66" s="50" t="s">
        <v>396</v>
      </c>
      <c r="E66" s="50" t="s">
        <v>614</v>
      </c>
      <c r="F66" s="50" t="s">
        <v>83</v>
      </c>
      <c r="G66" s="50" t="s">
        <v>1022</v>
      </c>
      <c r="H66" s="50" t="s">
        <v>1023</v>
      </c>
      <c r="I66" s="85"/>
      <c r="J66" s="52">
        <v>0</v>
      </c>
      <c r="K66" s="76"/>
      <c r="L66" s="76"/>
      <c r="M66" s="71">
        <f t="shared" si="6"/>
        <v>0</v>
      </c>
      <c r="N66" s="53">
        <f>IFERROR(VLOOKUP(D66,Source_Grades!$A:$N,13,FALSE()),0)</f>
        <v>55</v>
      </c>
      <c r="O66" s="54">
        <f>IFERROR(VLOOKUP(D66,Source_Grades!$A:$V,22,FALSE())*100,0)</f>
        <v>50</v>
      </c>
      <c r="P66" s="55">
        <f>IFERROR(VLOOKUP(D66,Source_Grades!$A:$Z,25,FALSE())*20,0)</f>
        <v>60</v>
      </c>
      <c r="Q66" s="55">
        <f t="shared" si="0"/>
        <v>40.74074074074074</v>
      </c>
      <c r="R66" s="55">
        <f t="shared" si="1"/>
        <v>50</v>
      </c>
      <c r="S66" s="55">
        <f t="shared" si="2"/>
        <v>0</v>
      </c>
      <c r="T66" s="56">
        <f t="shared" si="3"/>
        <v>23.148148148148149</v>
      </c>
      <c r="U66" s="57" t="str">
        <f t="shared" si="4"/>
        <v>لا</v>
      </c>
      <c r="V66" s="58" t="str">
        <f t="shared" si="5"/>
        <v>لم ينجح</v>
      </c>
    </row>
    <row r="67" spans="1:22" ht="15.7" customHeight="1" thickBot="1" x14ac:dyDescent="0.45">
      <c r="A67" s="89" t="s">
        <v>400</v>
      </c>
      <c r="B67" s="59">
        <v>1</v>
      </c>
      <c r="C67" s="60" t="s">
        <v>404</v>
      </c>
      <c r="D67" s="59" t="s">
        <v>405</v>
      </c>
      <c r="E67" s="59" t="s">
        <v>614</v>
      </c>
      <c r="F67" s="59" t="s">
        <v>83</v>
      </c>
      <c r="G67" s="59" t="s">
        <v>1024</v>
      </c>
      <c r="H67" s="59" t="s">
        <v>1026</v>
      </c>
      <c r="I67" s="84" t="s">
        <v>1028</v>
      </c>
      <c r="J67" s="16">
        <v>0</v>
      </c>
      <c r="K67" s="90">
        <f>IFERROR(_xlfn.XLOOKUP(D67, Project_Scores!$D:$D, Project_Scores!$F:$F, 0), 0)</f>
        <v>0</v>
      </c>
      <c r="L67" s="90">
        <f>IFERROR(_xlfn.XLOOKUP(D67, Project_Scores!$D:$D, Project_Scores!$G:$G, 0), 0)</f>
        <v>0</v>
      </c>
      <c r="M67" s="71">
        <f t="shared" ref="M67:M130" si="7">SUM(J67,K67,L67)</f>
        <v>0</v>
      </c>
      <c r="N67" s="22">
        <f>IFERROR(VLOOKUP(D67,Source_Grades!$A:$N,13,FALSE()),0)</f>
        <v>0</v>
      </c>
      <c r="O67" s="23">
        <f>IFERROR(VLOOKUP(D67,Source_Grades!$A:$V,22,FALSE())*100,0)</f>
        <v>0</v>
      </c>
      <c r="P67" s="27">
        <f>IFERROR(VLOOKUP(D67,Source_Grades!$A:$Z,25,FALSE())*20,0)</f>
        <v>0</v>
      </c>
      <c r="Q67" s="27">
        <f t="shared" si="0"/>
        <v>0</v>
      </c>
      <c r="R67" s="27">
        <f t="shared" si="1"/>
        <v>0</v>
      </c>
      <c r="S67" s="27">
        <f t="shared" si="2"/>
        <v>0</v>
      </c>
      <c r="T67" s="34">
        <f t="shared" si="3"/>
        <v>0</v>
      </c>
      <c r="U67" s="36" t="str">
        <f t="shared" si="4"/>
        <v>لا</v>
      </c>
      <c r="V67" s="37" t="str">
        <f t="shared" si="5"/>
        <v>لم ينجح</v>
      </c>
    </row>
    <row r="68" spans="1:22" ht="15.7" customHeight="1" thickBot="1" x14ac:dyDescent="0.45">
      <c r="A68" s="78"/>
      <c r="B68" s="61">
        <v>2</v>
      </c>
      <c r="C68" s="62" t="s">
        <v>408</v>
      </c>
      <c r="D68" s="61" t="s">
        <v>409</v>
      </c>
      <c r="E68" s="61" t="s">
        <v>614</v>
      </c>
      <c r="F68" s="61" t="s">
        <v>83</v>
      </c>
      <c r="G68" s="61" t="s">
        <v>1039</v>
      </c>
      <c r="H68" s="61" t="s">
        <v>1040</v>
      </c>
      <c r="I68" s="75"/>
      <c r="J68" s="42">
        <v>0</v>
      </c>
      <c r="K68" s="75"/>
      <c r="L68" s="75"/>
      <c r="M68" s="71">
        <f t="shared" si="7"/>
        <v>0</v>
      </c>
      <c r="N68" s="44">
        <f>IFERROR(VLOOKUP(D68,Source_Grades!$A:$N,13,FALSE()),0)</f>
        <v>0</v>
      </c>
      <c r="O68" s="45">
        <f>IFERROR(VLOOKUP(D68,Source_Grades!$A:$V,22,FALSE())*100,0)</f>
        <v>0</v>
      </c>
      <c r="P68" s="46">
        <f>IFERROR(VLOOKUP(D68,Source_Grades!$A:$Z,25,FALSE())*20,0)</f>
        <v>0</v>
      </c>
      <c r="Q68" s="46">
        <f t="shared" si="0"/>
        <v>0</v>
      </c>
      <c r="R68" s="46">
        <f t="shared" si="1"/>
        <v>0</v>
      </c>
      <c r="S68" s="46">
        <f t="shared" si="2"/>
        <v>0</v>
      </c>
      <c r="T68" s="47">
        <f t="shared" si="3"/>
        <v>0</v>
      </c>
      <c r="U68" s="48" t="str">
        <f t="shared" si="4"/>
        <v>لا</v>
      </c>
      <c r="V68" s="49" t="str">
        <f t="shared" si="5"/>
        <v>لم ينجح</v>
      </c>
    </row>
    <row r="69" spans="1:22" ht="15.7" customHeight="1" thickBot="1" x14ac:dyDescent="0.45">
      <c r="A69" s="78"/>
      <c r="B69" s="61">
        <v>3</v>
      </c>
      <c r="C69" s="62" t="s">
        <v>53</v>
      </c>
      <c r="D69" s="61" t="s">
        <v>412</v>
      </c>
      <c r="E69" s="61" t="s">
        <v>437</v>
      </c>
      <c r="F69" s="61" t="s">
        <v>1047</v>
      </c>
      <c r="G69" s="61" t="s">
        <v>1049</v>
      </c>
      <c r="H69" s="61" t="s">
        <v>1051</v>
      </c>
      <c r="I69" s="75"/>
      <c r="J69" s="42">
        <v>0</v>
      </c>
      <c r="K69" s="75"/>
      <c r="L69" s="75"/>
      <c r="M69" s="71">
        <f t="shared" si="7"/>
        <v>0</v>
      </c>
      <c r="N69" s="44">
        <f>IFERROR(VLOOKUP(D69,Source_Grades!$A:$N,13,FALSE()),0)</f>
        <v>0</v>
      </c>
      <c r="O69" s="45">
        <f>IFERROR(VLOOKUP(D69,Source_Grades!$A:$V,22,FALSE())*100,0)</f>
        <v>0</v>
      </c>
      <c r="P69" s="46">
        <f>IFERROR(VLOOKUP(D69,Source_Grades!$A:$Z,25,FALSE())*20,0)</f>
        <v>0</v>
      </c>
      <c r="Q69" s="46">
        <f t="shared" si="0"/>
        <v>0</v>
      </c>
      <c r="R69" s="46">
        <f t="shared" si="1"/>
        <v>0</v>
      </c>
      <c r="S69" s="46">
        <f t="shared" si="2"/>
        <v>0</v>
      </c>
      <c r="T69" s="47">
        <f t="shared" si="3"/>
        <v>0</v>
      </c>
      <c r="U69" s="48" t="str">
        <f t="shared" si="4"/>
        <v>لا</v>
      </c>
      <c r="V69" s="49" t="str">
        <f t="shared" si="5"/>
        <v>لم ينجح</v>
      </c>
    </row>
    <row r="70" spans="1:22" ht="15.7" customHeight="1" thickBot="1" x14ac:dyDescent="0.45">
      <c r="A70" s="78"/>
      <c r="B70" s="61">
        <v>4</v>
      </c>
      <c r="C70" s="62" t="s">
        <v>413</v>
      </c>
      <c r="D70" s="61" t="s">
        <v>414</v>
      </c>
      <c r="E70" s="61" t="s">
        <v>437</v>
      </c>
      <c r="F70" s="61" t="s">
        <v>845</v>
      </c>
      <c r="G70" s="61" t="s">
        <v>1068</v>
      </c>
      <c r="H70" s="61" t="s">
        <v>1069</v>
      </c>
      <c r="I70" s="75"/>
      <c r="J70" s="42">
        <v>0</v>
      </c>
      <c r="K70" s="75"/>
      <c r="L70" s="75"/>
      <c r="M70" s="71">
        <f t="shared" si="7"/>
        <v>0</v>
      </c>
      <c r="N70" s="44">
        <f>IFERROR(VLOOKUP(D70,Source_Grades!$A:$N,13,FALSE()),0)</f>
        <v>0</v>
      </c>
      <c r="O70" s="45">
        <f>IFERROR(VLOOKUP(D70,Source_Grades!$A:$V,22,FALSE())*100,0)</f>
        <v>0</v>
      </c>
      <c r="P70" s="46">
        <f>IFERROR(VLOOKUP(D70,Source_Grades!$A:$Z,25,FALSE())*20,0)</f>
        <v>0</v>
      </c>
      <c r="Q70" s="46">
        <f t="shared" si="0"/>
        <v>0</v>
      </c>
      <c r="R70" s="46">
        <f t="shared" si="1"/>
        <v>0</v>
      </c>
      <c r="S70" s="46">
        <f t="shared" si="2"/>
        <v>0</v>
      </c>
      <c r="T70" s="47">
        <f t="shared" si="3"/>
        <v>0</v>
      </c>
      <c r="U70" s="48" t="str">
        <f t="shared" si="4"/>
        <v>لا</v>
      </c>
      <c r="V70" s="49" t="str">
        <f t="shared" si="5"/>
        <v>لم ينجح</v>
      </c>
    </row>
    <row r="71" spans="1:22" ht="15.7" customHeight="1" thickBot="1" x14ac:dyDescent="0.45">
      <c r="A71" s="88"/>
      <c r="B71" s="63">
        <v>5</v>
      </c>
      <c r="C71" s="64" t="s">
        <v>150</v>
      </c>
      <c r="D71" s="63" t="s">
        <v>421</v>
      </c>
      <c r="E71" s="63" t="s">
        <v>437</v>
      </c>
      <c r="F71" s="63" t="s">
        <v>845</v>
      </c>
      <c r="G71" s="63" t="s">
        <v>1078</v>
      </c>
      <c r="H71" s="63" t="s">
        <v>1079</v>
      </c>
      <c r="I71" s="85"/>
      <c r="J71" s="52">
        <v>0</v>
      </c>
      <c r="K71" s="76"/>
      <c r="L71" s="76"/>
      <c r="M71" s="71">
        <f t="shared" si="7"/>
        <v>0</v>
      </c>
      <c r="N71" s="53">
        <f>IFERROR(VLOOKUP(D71,Source_Grades!$A:$N,13,FALSE()),0)</f>
        <v>0</v>
      </c>
      <c r="O71" s="54">
        <f>IFERROR(VLOOKUP(D71,Source_Grades!$A:$V,22,FALSE())*100,0)</f>
        <v>0</v>
      </c>
      <c r="P71" s="55">
        <f>IFERROR(VLOOKUP(D71,Source_Grades!$A:$Z,25,FALSE())*20,0)</f>
        <v>0</v>
      </c>
      <c r="Q71" s="55">
        <f t="shared" si="0"/>
        <v>0</v>
      </c>
      <c r="R71" s="55">
        <f t="shared" si="1"/>
        <v>0</v>
      </c>
      <c r="S71" s="55">
        <f t="shared" si="2"/>
        <v>0</v>
      </c>
      <c r="T71" s="56">
        <f t="shared" si="3"/>
        <v>0</v>
      </c>
      <c r="U71" s="57" t="str">
        <f t="shared" si="4"/>
        <v>لا</v>
      </c>
      <c r="V71" s="58" t="str">
        <f t="shared" si="5"/>
        <v>لم ينجح</v>
      </c>
    </row>
    <row r="72" spans="1:22" ht="15.7" customHeight="1" thickBot="1" x14ac:dyDescent="0.45">
      <c r="A72" s="87" t="s">
        <v>422</v>
      </c>
      <c r="B72" s="13">
        <v>1</v>
      </c>
      <c r="C72" s="14" t="s">
        <v>424</v>
      </c>
      <c r="D72" s="13" t="s">
        <v>426</v>
      </c>
      <c r="E72" s="13" t="s">
        <v>614</v>
      </c>
      <c r="F72" s="13" t="s">
        <v>83</v>
      </c>
      <c r="G72" s="13" t="s">
        <v>571</v>
      </c>
      <c r="H72" s="13" t="s">
        <v>569</v>
      </c>
      <c r="I72" s="86" t="s">
        <v>697</v>
      </c>
      <c r="J72" s="16">
        <v>0</v>
      </c>
      <c r="K72" s="90">
        <f>IFERROR(_xlfn.XLOOKUP(D72, Project_Scores!$D:$D, Project_Scores!$F:$F, 0), 0)</f>
        <v>0</v>
      </c>
      <c r="L72" s="90">
        <f>IFERROR(_xlfn.XLOOKUP(D72, Project_Scores!$D:$D, Project_Scores!$G:$G, 0), 0)</f>
        <v>0</v>
      </c>
      <c r="M72" s="71">
        <f t="shared" si="7"/>
        <v>0</v>
      </c>
      <c r="N72" s="22">
        <f>IFERROR(VLOOKUP(D72,Source_Grades!$A:$N,13,FALSE()),0)</f>
        <v>139</v>
      </c>
      <c r="O72" s="23">
        <f>IFERROR(VLOOKUP(D72,Source_Grades!$A:$V,22,FALSE())*100,0)</f>
        <v>83.333333333333343</v>
      </c>
      <c r="P72" s="27">
        <f>IFERROR(VLOOKUP(D72,Source_Grades!$A:$Z,25,FALSE())*20,0)</f>
        <v>100</v>
      </c>
      <c r="Q72" s="27">
        <f t="shared" si="0"/>
        <v>102.96296296296296</v>
      </c>
      <c r="R72" s="27">
        <f t="shared" si="1"/>
        <v>83.333333333333343</v>
      </c>
      <c r="S72" s="27">
        <f t="shared" si="2"/>
        <v>0</v>
      </c>
      <c r="T72" s="34">
        <f t="shared" si="3"/>
        <v>45.592592592592595</v>
      </c>
      <c r="U72" s="36" t="str">
        <f t="shared" si="4"/>
        <v>نعم</v>
      </c>
      <c r="V72" s="37" t="str">
        <f t="shared" si="5"/>
        <v>لم ينجح</v>
      </c>
    </row>
    <row r="73" spans="1:22" ht="15.7" customHeight="1" thickBot="1" x14ac:dyDescent="0.45">
      <c r="A73" s="78"/>
      <c r="B73" s="38">
        <v>2</v>
      </c>
      <c r="C73" s="39" t="s">
        <v>431</v>
      </c>
      <c r="D73" s="38" t="s">
        <v>432</v>
      </c>
      <c r="E73" s="38" t="s">
        <v>614</v>
      </c>
      <c r="F73" s="38" t="s">
        <v>83</v>
      </c>
      <c r="G73" s="38" t="s">
        <v>586</v>
      </c>
      <c r="H73" s="38" t="s">
        <v>584</v>
      </c>
      <c r="I73" s="75"/>
      <c r="J73" s="42">
        <v>0</v>
      </c>
      <c r="K73" s="75"/>
      <c r="L73" s="75"/>
      <c r="M73" s="71">
        <f t="shared" si="7"/>
        <v>0</v>
      </c>
      <c r="N73" s="44">
        <f>IFERROR(VLOOKUP(D73,Source_Grades!$A:$N,13,FALSE()),0)</f>
        <v>137</v>
      </c>
      <c r="O73" s="45">
        <f>IFERROR(VLOOKUP(D73,Source_Grades!$A:$V,22,FALSE())*100,0)</f>
        <v>83.333333333333343</v>
      </c>
      <c r="P73" s="46">
        <f>IFERROR(VLOOKUP(D73,Source_Grades!$A:$Z,25,FALSE())*20,0)</f>
        <v>100</v>
      </c>
      <c r="Q73" s="46">
        <f t="shared" si="0"/>
        <v>101.48148148148148</v>
      </c>
      <c r="R73" s="46">
        <f t="shared" si="1"/>
        <v>83.333333333333343</v>
      </c>
      <c r="S73" s="46">
        <f t="shared" si="2"/>
        <v>0</v>
      </c>
      <c r="T73" s="47">
        <f t="shared" si="3"/>
        <v>45.296296296296305</v>
      </c>
      <c r="U73" s="48" t="str">
        <f t="shared" si="4"/>
        <v>نعم</v>
      </c>
      <c r="V73" s="49" t="str">
        <f t="shared" si="5"/>
        <v>لم ينجح</v>
      </c>
    </row>
    <row r="74" spans="1:22" ht="15.7" customHeight="1" thickBot="1" x14ac:dyDescent="0.45">
      <c r="A74" s="78"/>
      <c r="B74" s="38">
        <v>3</v>
      </c>
      <c r="C74" s="39" t="s">
        <v>434</v>
      </c>
      <c r="D74" s="38" t="s">
        <v>436</v>
      </c>
      <c r="E74" s="38" t="s">
        <v>614</v>
      </c>
      <c r="F74" s="38" t="s">
        <v>83</v>
      </c>
      <c r="G74" s="38" t="s">
        <v>1119</v>
      </c>
      <c r="H74" s="38" t="s">
        <v>1120</v>
      </c>
      <c r="I74" s="75"/>
      <c r="J74" s="42">
        <v>0</v>
      </c>
      <c r="K74" s="75"/>
      <c r="L74" s="75"/>
      <c r="M74" s="71">
        <f t="shared" si="7"/>
        <v>0</v>
      </c>
      <c r="N74" s="44">
        <f>IFERROR(VLOOKUP(D74,Source_Grades!$A:$N,13,FALSE()),0)</f>
        <v>110.5</v>
      </c>
      <c r="O74" s="45">
        <f>IFERROR(VLOOKUP(D74,Source_Grades!$A:$V,22,FALSE())*100,0)</f>
        <v>66.666666666666657</v>
      </c>
      <c r="P74" s="46">
        <f>IFERROR(VLOOKUP(D74,Source_Grades!$A:$Z,25,FALSE())*20,0)</f>
        <v>80</v>
      </c>
      <c r="Q74" s="46">
        <f t="shared" si="0"/>
        <v>81.851851851851848</v>
      </c>
      <c r="R74" s="46">
        <f t="shared" si="1"/>
        <v>66.666666666666657</v>
      </c>
      <c r="S74" s="46">
        <f t="shared" si="2"/>
        <v>0</v>
      </c>
      <c r="T74" s="47">
        <f t="shared" si="3"/>
        <v>36.370370370370367</v>
      </c>
      <c r="U74" s="48" t="str">
        <f t="shared" si="4"/>
        <v>نعم</v>
      </c>
      <c r="V74" s="49" t="str">
        <f t="shared" si="5"/>
        <v>لم ينجح</v>
      </c>
    </row>
    <row r="75" spans="1:22" ht="15.7" customHeight="1" thickBot="1" x14ac:dyDescent="0.45">
      <c r="A75" s="78"/>
      <c r="B75" s="38">
        <v>4</v>
      </c>
      <c r="C75" s="39" t="s">
        <v>438</v>
      </c>
      <c r="D75" s="38" t="s">
        <v>440</v>
      </c>
      <c r="E75" s="38" t="s">
        <v>614</v>
      </c>
      <c r="F75" s="38" t="s">
        <v>83</v>
      </c>
      <c r="G75" s="38" t="s">
        <v>1002</v>
      </c>
      <c r="H75" s="38" t="s">
        <v>1000</v>
      </c>
      <c r="I75" s="75"/>
      <c r="J75" s="42">
        <v>0</v>
      </c>
      <c r="K75" s="75"/>
      <c r="L75" s="75"/>
      <c r="M75" s="71">
        <f t="shared" si="7"/>
        <v>0</v>
      </c>
      <c r="N75" s="44">
        <f>IFERROR(VLOOKUP(D75,Source_Grades!$A:$N,13,FALSE()),0)</f>
        <v>71</v>
      </c>
      <c r="O75" s="45">
        <f>IFERROR(VLOOKUP(D75,Source_Grades!$A:$V,22,FALSE())*100,0)</f>
        <v>66.666666666666657</v>
      </c>
      <c r="P75" s="46">
        <f>IFERROR(VLOOKUP(D75,Source_Grades!$A:$Z,25,FALSE())*20,0)</f>
        <v>80</v>
      </c>
      <c r="Q75" s="46">
        <f t="shared" si="0"/>
        <v>52.592592592592588</v>
      </c>
      <c r="R75" s="46">
        <f t="shared" si="1"/>
        <v>66.666666666666657</v>
      </c>
      <c r="S75" s="46">
        <f t="shared" si="2"/>
        <v>0</v>
      </c>
      <c r="T75" s="47">
        <f t="shared" si="3"/>
        <v>30.518518518518515</v>
      </c>
      <c r="U75" s="48" t="str">
        <f t="shared" si="4"/>
        <v>نعم</v>
      </c>
      <c r="V75" s="49" t="str">
        <f t="shared" si="5"/>
        <v>لم ينجح</v>
      </c>
    </row>
    <row r="76" spans="1:22" ht="15.7" customHeight="1" thickBot="1" x14ac:dyDescent="0.45">
      <c r="A76" s="88"/>
      <c r="B76" s="50">
        <v>5</v>
      </c>
      <c r="C76" s="51" t="s">
        <v>298</v>
      </c>
      <c r="D76" s="50" t="s">
        <v>297</v>
      </c>
      <c r="E76" s="50" t="s">
        <v>614</v>
      </c>
      <c r="F76" s="50" t="s">
        <v>83</v>
      </c>
      <c r="G76" s="50" t="s">
        <v>304</v>
      </c>
      <c r="H76" s="50" t="s">
        <v>300</v>
      </c>
      <c r="I76" s="85"/>
      <c r="J76" s="52">
        <v>0</v>
      </c>
      <c r="K76" s="76"/>
      <c r="L76" s="76"/>
      <c r="M76" s="71">
        <f t="shared" si="7"/>
        <v>0</v>
      </c>
      <c r="N76" s="53">
        <f>IFERROR(VLOOKUP(D76,Source_Grades!$A:$N,13,FALSE()),0)</f>
        <v>130</v>
      </c>
      <c r="O76" s="54">
        <f>IFERROR(VLOOKUP(D76,Source_Grades!$A:$V,22,FALSE())*100,0)</f>
        <v>83.333333333333343</v>
      </c>
      <c r="P76" s="55">
        <f>IFERROR(VLOOKUP(D76,Source_Grades!$A:$Z,25,FALSE())*20,0)</f>
        <v>100</v>
      </c>
      <c r="Q76" s="55">
        <f t="shared" si="0"/>
        <v>96.296296296296291</v>
      </c>
      <c r="R76" s="55">
        <f t="shared" si="1"/>
        <v>83.333333333333343</v>
      </c>
      <c r="S76" s="55">
        <f t="shared" si="2"/>
        <v>0</v>
      </c>
      <c r="T76" s="56">
        <f t="shared" si="3"/>
        <v>44.259259259259267</v>
      </c>
      <c r="U76" s="57" t="str">
        <f t="shared" si="4"/>
        <v>نعم</v>
      </c>
      <c r="V76" s="58" t="str">
        <f t="shared" si="5"/>
        <v>لم ينجح</v>
      </c>
    </row>
    <row r="77" spans="1:22" ht="15.7" customHeight="1" thickBot="1" x14ac:dyDescent="0.45">
      <c r="A77" s="89" t="s">
        <v>449</v>
      </c>
      <c r="B77" s="59">
        <v>1</v>
      </c>
      <c r="C77" s="60" t="s">
        <v>450</v>
      </c>
      <c r="D77" s="59" t="s">
        <v>451</v>
      </c>
      <c r="E77" s="59" t="s">
        <v>614</v>
      </c>
      <c r="F77" s="59" t="s">
        <v>83</v>
      </c>
      <c r="G77" s="59" t="s">
        <v>1126</v>
      </c>
      <c r="H77" s="59" t="s">
        <v>1124</v>
      </c>
      <c r="I77" s="84" t="s">
        <v>1134</v>
      </c>
      <c r="J77" s="16">
        <v>0</v>
      </c>
      <c r="K77" s="90">
        <f>IFERROR(_xlfn.XLOOKUP(D77, Project_Scores!$D:$D, Project_Scores!$F:$F, 0), 0)</f>
        <v>0</v>
      </c>
      <c r="L77" s="90">
        <f>IFERROR(_xlfn.XLOOKUP(D77, Project_Scores!$D:$D, Project_Scores!$G:$G, 0), 0)</f>
        <v>0</v>
      </c>
      <c r="M77" s="71">
        <f t="shared" si="7"/>
        <v>0</v>
      </c>
      <c r="N77" s="22">
        <f>IFERROR(VLOOKUP(D77,Source_Grades!$A:$N,13,FALSE()),0)</f>
        <v>136</v>
      </c>
      <c r="O77" s="23">
        <f>IFERROR(VLOOKUP(D77,Source_Grades!$A:$V,22,FALSE())*100,0)</f>
        <v>83.333333333333343</v>
      </c>
      <c r="P77" s="27">
        <f>IFERROR(VLOOKUP(D77,Source_Grades!$A:$Z,25,FALSE())*20,0)</f>
        <v>100</v>
      </c>
      <c r="Q77" s="27">
        <f t="shared" si="0"/>
        <v>100.74074074074073</v>
      </c>
      <c r="R77" s="27">
        <f t="shared" si="1"/>
        <v>83.333333333333343</v>
      </c>
      <c r="S77" s="27">
        <f t="shared" si="2"/>
        <v>0</v>
      </c>
      <c r="T77" s="34">
        <f t="shared" si="3"/>
        <v>45.148148148148152</v>
      </c>
      <c r="U77" s="36" t="str">
        <f t="shared" si="4"/>
        <v>نعم</v>
      </c>
      <c r="V77" s="37" t="str">
        <f t="shared" si="5"/>
        <v>لم ينجح</v>
      </c>
    </row>
    <row r="78" spans="1:22" ht="15.7" customHeight="1" thickBot="1" x14ac:dyDescent="0.45">
      <c r="A78" s="78"/>
      <c r="B78" s="61">
        <v>2</v>
      </c>
      <c r="C78" s="62" t="s">
        <v>457</v>
      </c>
      <c r="D78" s="61" t="s">
        <v>458</v>
      </c>
      <c r="E78" s="61" t="s">
        <v>81</v>
      </c>
      <c r="F78" s="61" t="s">
        <v>83</v>
      </c>
      <c r="G78" s="61" t="s">
        <v>920</v>
      </c>
      <c r="H78" s="61" t="s">
        <v>918</v>
      </c>
      <c r="I78" s="75"/>
      <c r="J78" s="42">
        <v>0</v>
      </c>
      <c r="K78" s="75"/>
      <c r="L78" s="75"/>
      <c r="M78" s="71">
        <f t="shared" si="7"/>
        <v>0</v>
      </c>
      <c r="N78" s="44">
        <f>IFERROR(VLOOKUP(D78,Source_Grades!$A:$N,13,FALSE()),0)</f>
        <v>125</v>
      </c>
      <c r="O78" s="45">
        <f>IFERROR(VLOOKUP(D78,Source_Grades!$A:$V,22,FALSE())*100,0)</f>
        <v>83.333333333333343</v>
      </c>
      <c r="P78" s="46">
        <f>IFERROR(VLOOKUP(D78,Source_Grades!$A:$Z,25,FALSE())*20,0)</f>
        <v>100</v>
      </c>
      <c r="Q78" s="46">
        <f t="shared" si="0"/>
        <v>92.592592592592595</v>
      </c>
      <c r="R78" s="46">
        <f t="shared" si="1"/>
        <v>83.333333333333343</v>
      </c>
      <c r="S78" s="46">
        <f t="shared" si="2"/>
        <v>0</v>
      </c>
      <c r="T78" s="47">
        <f t="shared" si="3"/>
        <v>43.518518518518519</v>
      </c>
      <c r="U78" s="48" t="str">
        <f t="shared" si="4"/>
        <v>نعم</v>
      </c>
      <c r="V78" s="49" t="str">
        <f t="shared" si="5"/>
        <v>لم ينجح</v>
      </c>
    </row>
    <row r="79" spans="1:22" ht="15.7" customHeight="1" thickBot="1" x14ac:dyDescent="0.45">
      <c r="A79" s="78"/>
      <c r="B79" s="61">
        <v>3</v>
      </c>
      <c r="C79" s="62" t="s">
        <v>462</v>
      </c>
      <c r="D79" s="61" t="s">
        <v>465</v>
      </c>
      <c r="E79" s="61" t="s">
        <v>81</v>
      </c>
      <c r="F79" s="61" t="s">
        <v>83</v>
      </c>
      <c r="G79" s="61" t="s">
        <v>952</v>
      </c>
      <c r="H79" s="61" t="s">
        <v>950</v>
      </c>
      <c r="I79" s="75"/>
      <c r="J79" s="42">
        <v>0</v>
      </c>
      <c r="K79" s="75"/>
      <c r="L79" s="75"/>
      <c r="M79" s="71">
        <f t="shared" si="7"/>
        <v>0</v>
      </c>
      <c r="N79" s="44">
        <f>IFERROR(VLOOKUP(D79,Source_Grades!$A:$N,13,FALSE()),0)</f>
        <v>103.5</v>
      </c>
      <c r="O79" s="45">
        <f>IFERROR(VLOOKUP(D79,Source_Grades!$A:$V,22,FALSE())*100,0)</f>
        <v>83.333333333333343</v>
      </c>
      <c r="P79" s="46">
        <f>IFERROR(VLOOKUP(D79,Source_Grades!$A:$Z,25,FALSE())*20,0)</f>
        <v>100</v>
      </c>
      <c r="Q79" s="46">
        <f t="shared" si="0"/>
        <v>76.666666666666671</v>
      </c>
      <c r="R79" s="46">
        <f t="shared" si="1"/>
        <v>83.333333333333343</v>
      </c>
      <c r="S79" s="46">
        <f t="shared" si="2"/>
        <v>0</v>
      </c>
      <c r="T79" s="47">
        <f t="shared" si="3"/>
        <v>40.333333333333343</v>
      </c>
      <c r="U79" s="48" t="str">
        <f t="shared" si="4"/>
        <v>نعم</v>
      </c>
      <c r="V79" s="49" t="str">
        <f t="shared" si="5"/>
        <v>لم ينجح</v>
      </c>
    </row>
    <row r="80" spans="1:22" ht="15.7" customHeight="1" thickBot="1" x14ac:dyDescent="0.45">
      <c r="A80" s="78"/>
      <c r="B80" s="61">
        <v>4</v>
      </c>
      <c r="C80" s="62" t="s">
        <v>466</v>
      </c>
      <c r="D80" s="61" t="s">
        <v>384</v>
      </c>
      <c r="E80" s="61" t="s">
        <v>614</v>
      </c>
      <c r="F80" s="61" t="s">
        <v>83</v>
      </c>
      <c r="G80" s="61" t="s">
        <v>391</v>
      </c>
      <c r="H80" s="61" t="s">
        <v>389</v>
      </c>
      <c r="I80" s="75"/>
      <c r="J80" s="42">
        <v>0</v>
      </c>
      <c r="K80" s="75"/>
      <c r="L80" s="75"/>
      <c r="M80" s="71">
        <f t="shared" si="7"/>
        <v>0</v>
      </c>
      <c r="N80" s="44">
        <f>IFERROR(VLOOKUP(D80,Source_Grades!$A:$N,13,FALSE()),0)</f>
        <v>118</v>
      </c>
      <c r="O80" s="45">
        <f>IFERROR(VLOOKUP(D80,Source_Grades!$A:$V,22,FALSE())*100,0)</f>
        <v>83.333333333333343</v>
      </c>
      <c r="P80" s="46">
        <f>IFERROR(VLOOKUP(D80,Source_Grades!$A:$Z,25,FALSE())*20,0)</f>
        <v>100</v>
      </c>
      <c r="Q80" s="46">
        <f t="shared" si="0"/>
        <v>87.407407407407405</v>
      </c>
      <c r="R80" s="46">
        <f t="shared" si="1"/>
        <v>83.333333333333343</v>
      </c>
      <c r="S80" s="46">
        <f t="shared" si="2"/>
        <v>0</v>
      </c>
      <c r="T80" s="47">
        <f t="shared" si="3"/>
        <v>42.481481481481481</v>
      </c>
      <c r="U80" s="48" t="str">
        <f t="shared" si="4"/>
        <v>نعم</v>
      </c>
      <c r="V80" s="49" t="str">
        <f t="shared" si="5"/>
        <v>لم ينجح</v>
      </c>
    </row>
    <row r="81" spans="1:22" ht="15.7" customHeight="1" thickBot="1" x14ac:dyDescent="0.45">
      <c r="A81" s="88"/>
      <c r="B81" s="63">
        <v>5</v>
      </c>
      <c r="C81" s="64" t="s">
        <v>472</v>
      </c>
      <c r="D81" s="63" t="s">
        <v>473</v>
      </c>
      <c r="E81" s="63" t="s">
        <v>614</v>
      </c>
      <c r="F81" s="63" t="s">
        <v>83</v>
      </c>
      <c r="G81" s="63" t="s">
        <v>1160</v>
      </c>
      <c r="H81" s="63" t="s">
        <v>1161</v>
      </c>
      <c r="I81" s="85"/>
      <c r="J81" s="52">
        <v>0</v>
      </c>
      <c r="K81" s="76"/>
      <c r="L81" s="76"/>
      <c r="M81" s="71">
        <f t="shared" si="7"/>
        <v>0</v>
      </c>
      <c r="N81" s="53">
        <f>IFERROR(VLOOKUP(D81,Source_Grades!$A:$N,13,FALSE()),0)</f>
        <v>68</v>
      </c>
      <c r="O81" s="54">
        <f>IFERROR(VLOOKUP(D81,Source_Grades!$A:$V,22,FALSE())*100,0)</f>
        <v>66.666666666666657</v>
      </c>
      <c r="P81" s="55">
        <f>IFERROR(VLOOKUP(D81,Source_Grades!$A:$Z,25,FALSE())*20,0)</f>
        <v>80</v>
      </c>
      <c r="Q81" s="55">
        <f t="shared" si="0"/>
        <v>50.370370370370367</v>
      </c>
      <c r="R81" s="55">
        <f t="shared" si="1"/>
        <v>66.666666666666657</v>
      </c>
      <c r="S81" s="55">
        <f t="shared" si="2"/>
        <v>0</v>
      </c>
      <c r="T81" s="56">
        <f t="shared" si="3"/>
        <v>30.074074074074069</v>
      </c>
      <c r="U81" s="57" t="str">
        <f t="shared" si="4"/>
        <v>نعم</v>
      </c>
      <c r="V81" s="58" t="str">
        <f t="shared" si="5"/>
        <v>لم ينجح</v>
      </c>
    </row>
    <row r="82" spans="1:22" ht="15.7" customHeight="1" thickBot="1" x14ac:dyDescent="0.45">
      <c r="A82" s="87" t="s">
        <v>478</v>
      </c>
      <c r="B82" s="13">
        <v>1</v>
      </c>
      <c r="C82" s="14" t="s">
        <v>482</v>
      </c>
      <c r="D82" s="13" t="s">
        <v>484</v>
      </c>
      <c r="E82" s="13" t="s">
        <v>81</v>
      </c>
      <c r="F82" s="13" t="s">
        <v>83</v>
      </c>
      <c r="G82" s="13" t="s">
        <v>1164</v>
      </c>
      <c r="H82" s="13" t="s">
        <v>1165</v>
      </c>
      <c r="I82" s="86" t="s">
        <v>1166</v>
      </c>
      <c r="J82" s="16">
        <v>0</v>
      </c>
      <c r="K82" s="90">
        <f>IFERROR(_xlfn.XLOOKUP(D82, Project_Scores!$D:$D, Project_Scores!$F:$F, 0), 0)</f>
        <v>0</v>
      </c>
      <c r="L82" s="90">
        <f>IFERROR(_xlfn.XLOOKUP(D82, Project_Scores!$D:$D, Project_Scores!$G:$G, 0), 0)</f>
        <v>0</v>
      </c>
      <c r="M82" s="71">
        <f t="shared" si="7"/>
        <v>0</v>
      </c>
      <c r="N82" s="22">
        <f>IFERROR(VLOOKUP(D82,Source_Grades!$A:$N,13,FALSE()),0)</f>
        <v>96</v>
      </c>
      <c r="O82" s="23">
        <f>IFERROR(VLOOKUP(D82,Source_Grades!$A:$V,22,FALSE())*100,0)</f>
        <v>83.333333333333343</v>
      </c>
      <c r="P82" s="27">
        <f>IFERROR(VLOOKUP(D82,Source_Grades!$A:$Z,25,FALSE())*20,0)</f>
        <v>100</v>
      </c>
      <c r="Q82" s="27">
        <f t="shared" si="0"/>
        <v>71.111111111111114</v>
      </c>
      <c r="R82" s="27">
        <f t="shared" si="1"/>
        <v>83.333333333333343</v>
      </c>
      <c r="S82" s="27">
        <f t="shared" si="2"/>
        <v>0</v>
      </c>
      <c r="T82" s="34">
        <f t="shared" si="3"/>
        <v>39.222222222222229</v>
      </c>
      <c r="U82" s="36" t="str">
        <f t="shared" si="4"/>
        <v>نعم</v>
      </c>
      <c r="V82" s="37" t="str">
        <f t="shared" si="5"/>
        <v>لم ينجح</v>
      </c>
    </row>
    <row r="83" spans="1:22" ht="15.7" customHeight="1" thickBot="1" x14ac:dyDescent="0.45">
      <c r="A83" s="78"/>
      <c r="B83" s="38">
        <v>2</v>
      </c>
      <c r="C83" s="39" t="s">
        <v>487</v>
      </c>
      <c r="D83" s="38" t="s">
        <v>488</v>
      </c>
      <c r="E83" s="38" t="s">
        <v>81</v>
      </c>
      <c r="F83" s="38" t="s">
        <v>83</v>
      </c>
      <c r="G83" s="38" t="s">
        <v>1174</v>
      </c>
      <c r="H83" s="38" t="s">
        <v>1175</v>
      </c>
      <c r="I83" s="75"/>
      <c r="J83" s="42">
        <v>0</v>
      </c>
      <c r="K83" s="75"/>
      <c r="L83" s="75"/>
      <c r="M83" s="71">
        <f t="shared" si="7"/>
        <v>0</v>
      </c>
      <c r="N83" s="44">
        <f>IFERROR(VLOOKUP(D83,Source_Grades!$A:$N,13,FALSE()),0)</f>
        <v>67</v>
      </c>
      <c r="O83" s="45">
        <f>IFERROR(VLOOKUP(D83,Source_Grades!$A:$V,22,FALSE())*100,0)</f>
        <v>83.333333333333343</v>
      </c>
      <c r="P83" s="46">
        <f>IFERROR(VLOOKUP(D83,Source_Grades!$A:$Z,25,FALSE())*20,0)</f>
        <v>100</v>
      </c>
      <c r="Q83" s="46">
        <f t="shared" si="0"/>
        <v>49.629629629629626</v>
      </c>
      <c r="R83" s="46">
        <f t="shared" si="1"/>
        <v>83.333333333333343</v>
      </c>
      <c r="S83" s="46">
        <f t="shared" si="2"/>
        <v>0</v>
      </c>
      <c r="T83" s="47">
        <f t="shared" si="3"/>
        <v>34.925925925925931</v>
      </c>
      <c r="U83" s="48" t="str">
        <f t="shared" si="4"/>
        <v>نعم</v>
      </c>
      <c r="V83" s="49" t="str">
        <f t="shared" si="5"/>
        <v>لم ينجح</v>
      </c>
    </row>
    <row r="84" spans="1:22" ht="15.7" customHeight="1" thickBot="1" x14ac:dyDescent="0.45">
      <c r="A84" s="78"/>
      <c r="B84" s="38">
        <v>3</v>
      </c>
      <c r="C84" s="39" t="s">
        <v>493</v>
      </c>
      <c r="D84" s="38" t="s">
        <v>494</v>
      </c>
      <c r="E84" s="38" t="s">
        <v>81</v>
      </c>
      <c r="F84" s="38" t="s">
        <v>83</v>
      </c>
      <c r="G84" s="38" t="s">
        <v>1176</v>
      </c>
      <c r="H84" s="38" t="s">
        <v>1033</v>
      </c>
      <c r="I84" s="75"/>
      <c r="J84" s="42">
        <v>0</v>
      </c>
      <c r="K84" s="75"/>
      <c r="L84" s="75"/>
      <c r="M84" s="71">
        <f t="shared" si="7"/>
        <v>0</v>
      </c>
      <c r="N84" s="44">
        <f>IFERROR(VLOOKUP(D84,Source_Grades!$A:$N,13,FALSE()),0)</f>
        <v>121</v>
      </c>
      <c r="O84" s="45">
        <f>IFERROR(VLOOKUP(D84,Source_Grades!$A:$V,22,FALSE())*100,0)</f>
        <v>83.333333333333343</v>
      </c>
      <c r="P84" s="46">
        <f>IFERROR(VLOOKUP(D84,Source_Grades!$A:$Z,25,FALSE())*20,0)</f>
        <v>100</v>
      </c>
      <c r="Q84" s="46">
        <f t="shared" si="0"/>
        <v>89.629629629629619</v>
      </c>
      <c r="R84" s="46">
        <f t="shared" si="1"/>
        <v>83.333333333333343</v>
      </c>
      <c r="S84" s="46">
        <f t="shared" si="2"/>
        <v>0</v>
      </c>
      <c r="T84" s="47">
        <f t="shared" si="3"/>
        <v>42.925925925925924</v>
      </c>
      <c r="U84" s="48" t="str">
        <f t="shared" si="4"/>
        <v>نعم</v>
      </c>
      <c r="V84" s="49" t="str">
        <f t="shared" si="5"/>
        <v>لم ينجح</v>
      </c>
    </row>
    <row r="85" spans="1:22" ht="15.7" customHeight="1" thickBot="1" x14ac:dyDescent="0.45">
      <c r="A85" s="78"/>
      <c r="B85" s="38">
        <v>4</v>
      </c>
      <c r="C85" s="39" t="s">
        <v>500</v>
      </c>
      <c r="D85" s="38" t="s">
        <v>502</v>
      </c>
      <c r="E85" s="38" t="s">
        <v>81</v>
      </c>
      <c r="F85" s="38" t="s">
        <v>83</v>
      </c>
      <c r="G85" s="38" t="s">
        <v>1177</v>
      </c>
      <c r="H85" s="38" t="s">
        <v>1178</v>
      </c>
      <c r="I85" s="75"/>
      <c r="J85" s="42">
        <v>0</v>
      </c>
      <c r="K85" s="75"/>
      <c r="L85" s="75"/>
      <c r="M85" s="71">
        <f t="shared" si="7"/>
        <v>0</v>
      </c>
      <c r="N85" s="44">
        <f>IFERROR(VLOOKUP(D85,Source_Grades!$A:$N,13,FALSE()),0)</f>
        <v>64</v>
      </c>
      <c r="O85" s="45">
        <f>IFERROR(VLOOKUP(D85,Source_Grades!$A:$V,22,FALSE())*100,0)</f>
        <v>66.666666666666657</v>
      </c>
      <c r="P85" s="46">
        <f>IFERROR(VLOOKUP(D85,Source_Grades!$A:$Z,25,FALSE())*20,0)</f>
        <v>80</v>
      </c>
      <c r="Q85" s="46">
        <f t="shared" si="0"/>
        <v>47.407407407407412</v>
      </c>
      <c r="R85" s="46">
        <f t="shared" si="1"/>
        <v>66.666666666666657</v>
      </c>
      <c r="S85" s="46">
        <f t="shared" si="2"/>
        <v>0</v>
      </c>
      <c r="T85" s="47">
        <f t="shared" si="3"/>
        <v>29.481481481481481</v>
      </c>
      <c r="U85" s="48" t="str">
        <f t="shared" si="4"/>
        <v>نعم</v>
      </c>
      <c r="V85" s="49" t="str">
        <f t="shared" si="5"/>
        <v>لم ينجح</v>
      </c>
    </row>
    <row r="86" spans="1:22" ht="15.7" customHeight="1" thickBot="1" x14ac:dyDescent="0.45">
      <c r="A86" s="88"/>
      <c r="B86" s="50">
        <v>5</v>
      </c>
      <c r="C86" s="51" t="s">
        <v>503</v>
      </c>
      <c r="D86" s="50" t="s">
        <v>504</v>
      </c>
      <c r="E86" s="50" t="s">
        <v>81</v>
      </c>
      <c r="F86" s="50" t="s">
        <v>83</v>
      </c>
      <c r="G86" s="50" t="s">
        <v>674</v>
      </c>
      <c r="H86" s="50" t="s">
        <v>672</v>
      </c>
      <c r="I86" s="85"/>
      <c r="J86" s="52">
        <v>0</v>
      </c>
      <c r="K86" s="76"/>
      <c r="L86" s="76"/>
      <c r="M86" s="71">
        <f t="shared" si="7"/>
        <v>0</v>
      </c>
      <c r="N86" s="53">
        <f>IFERROR(VLOOKUP(D86,Source_Grades!$A:$N,13,FALSE()),0)</f>
        <v>114.5</v>
      </c>
      <c r="O86" s="54">
        <f>IFERROR(VLOOKUP(D86,Source_Grades!$A:$V,22,FALSE())*100,0)</f>
        <v>83.333333333333343</v>
      </c>
      <c r="P86" s="55">
        <f>IFERROR(VLOOKUP(D86,Source_Grades!$A:$Z,25,FALSE())*20,0)</f>
        <v>100</v>
      </c>
      <c r="Q86" s="55">
        <f t="shared" si="0"/>
        <v>84.81481481481481</v>
      </c>
      <c r="R86" s="55">
        <f t="shared" si="1"/>
        <v>83.333333333333343</v>
      </c>
      <c r="S86" s="55">
        <f t="shared" si="2"/>
        <v>0</v>
      </c>
      <c r="T86" s="56">
        <f t="shared" si="3"/>
        <v>41.962962962962962</v>
      </c>
      <c r="U86" s="57" t="str">
        <f t="shared" si="4"/>
        <v>نعم</v>
      </c>
      <c r="V86" s="58" t="str">
        <f t="shared" si="5"/>
        <v>لم ينجح</v>
      </c>
    </row>
    <row r="87" spans="1:22" ht="15.7" customHeight="1" thickBot="1" x14ac:dyDescent="0.45">
      <c r="A87" s="89" t="s">
        <v>509</v>
      </c>
      <c r="B87" s="59">
        <v>1</v>
      </c>
      <c r="C87" s="60" t="s">
        <v>510</v>
      </c>
      <c r="D87" s="59" t="s">
        <v>511</v>
      </c>
      <c r="E87" s="59" t="s">
        <v>81</v>
      </c>
      <c r="F87" s="59" t="s">
        <v>83</v>
      </c>
      <c r="G87" s="59" t="s">
        <v>839</v>
      </c>
      <c r="H87" s="59" t="s">
        <v>837</v>
      </c>
      <c r="I87" s="84" t="s">
        <v>1179</v>
      </c>
      <c r="J87" s="16">
        <v>0</v>
      </c>
      <c r="K87" s="90">
        <f>IFERROR(_xlfn.XLOOKUP(D87, Project_Scores!$D:$D, Project_Scores!$F:$F, 0), 0)</f>
        <v>0</v>
      </c>
      <c r="L87" s="90">
        <f>IFERROR(_xlfn.XLOOKUP(D87, Project_Scores!$D:$D, Project_Scores!$G:$G, 0), 0)</f>
        <v>0</v>
      </c>
      <c r="M87" s="71">
        <f t="shared" si="7"/>
        <v>0</v>
      </c>
      <c r="N87" s="22">
        <f>IFERROR(VLOOKUP(D87,Source_Grades!$A:$N,13,FALSE()),0)</f>
        <v>133</v>
      </c>
      <c r="O87" s="23">
        <f>IFERROR(VLOOKUP(D87,Source_Grades!$A:$V,22,FALSE())*100,0)</f>
        <v>83.333333333333343</v>
      </c>
      <c r="P87" s="27">
        <f>IFERROR(VLOOKUP(D87,Source_Grades!$A:$Z,25,FALSE())*20,0)</f>
        <v>100</v>
      </c>
      <c r="Q87" s="27">
        <f t="shared" si="0"/>
        <v>98.518518518518519</v>
      </c>
      <c r="R87" s="27">
        <f t="shared" si="1"/>
        <v>83.333333333333343</v>
      </c>
      <c r="S87" s="27">
        <f t="shared" si="2"/>
        <v>0</v>
      </c>
      <c r="T87" s="34">
        <f t="shared" si="3"/>
        <v>44.703703703703709</v>
      </c>
      <c r="U87" s="36" t="str">
        <f t="shared" si="4"/>
        <v>نعم</v>
      </c>
      <c r="V87" s="37" t="str">
        <f t="shared" si="5"/>
        <v>لم ينجح</v>
      </c>
    </row>
    <row r="88" spans="1:22" ht="15.7" customHeight="1" thickBot="1" x14ac:dyDescent="0.45">
      <c r="A88" s="78"/>
      <c r="B88" s="61">
        <v>2</v>
      </c>
      <c r="C88" s="62" t="s">
        <v>517</v>
      </c>
      <c r="D88" s="61" t="s">
        <v>518</v>
      </c>
      <c r="E88" s="61" t="s">
        <v>614</v>
      </c>
      <c r="F88" s="61" t="s">
        <v>83</v>
      </c>
      <c r="G88" s="61" t="s">
        <v>1192</v>
      </c>
      <c r="H88" s="61" t="s">
        <v>1193</v>
      </c>
      <c r="I88" s="75"/>
      <c r="J88" s="42">
        <v>0</v>
      </c>
      <c r="K88" s="75"/>
      <c r="L88" s="75"/>
      <c r="M88" s="71">
        <f t="shared" si="7"/>
        <v>0</v>
      </c>
      <c r="N88" s="44">
        <f>IFERROR(VLOOKUP(D88,Source_Grades!$A:$N,13,FALSE()),0)</f>
        <v>101</v>
      </c>
      <c r="O88" s="45">
        <f>IFERROR(VLOOKUP(D88,Source_Grades!$A:$V,22,FALSE())*100,0)</f>
        <v>83.333333333333343</v>
      </c>
      <c r="P88" s="46">
        <f>IFERROR(VLOOKUP(D88,Source_Grades!$A:$Z,25,FALSE())*20,0)</f>
        <v>100</v>
      </c>
      <c r="Q88" s="46">
        <f t="shared" si="0"/>
        <v>74.81481481481481</v>
      </c>
      <c r="R88" s="46">
        <f t="shared" si="1"/>
        <v>83.333333333333343</v>
      </c>
      <c r="S88" s="46">
        <f t="shared" si="2"/>
        <v>0</v>
      </c>
      <c r="T88" s="47">
        <f t="shared" si="3"/>
        <v>39.962962962962962</v>
      </c>
      <c r="U88" s="48" t="str">
        <f t="shared" si="4"/>
        <v>نعم</v>
      </c>
      <c r="V88" s="49" t="str">
        <f t="shared" si="5"/>
        <v>لم ينجح</v>
      </c>
    </row>
    <row r="89" spans="1:22" ht="15.7" customHeight="1" thickBot="1" x14ac:dyDescent="0.45">
      <c r="A89" s="78"/>
      <c r="B89" s="61">
        <v>3</v>
      </c>
      <c r="C89" s="62" t="s">
        <v>522</v>
      </c>
      <c r="D89" s="61" t="s">
        <v>524</v>
      </c>
      <c r="E89" s="61" t="s">
        <v>437</v>
      </c>
      <c r="F89" s="61" t="s">
        <v>845</v>
      </c>
      <c r="G89" s="61" t="s">
        <v>1203</v>
      </c>
      <c r="H89" s="61" t="s">
        <v>1205</v>
      </c>
      <c r="I89" s="75"/>
      <c r="J89" s="42">
        <v>0</v>
      </c>
      <c r="K89" s="75"/>
      <c r="L89" s="75"/>
      <c r="M89" s="71">
        <f t="shared" si="7"/>
        <v>0</v>
      </c>
      <c r="N89" s="44">
        <f>IFERROR(VLOOKUP(D89,Source_Grades!$A:$N,13,FALSE()),0)</f>
        <v>129</v>
      </c>
      <c r="O89" s="45">
        <f>IFERROR(VLOOKUP(D89,Source_Grades!$A:$V,22,FALSE())*100,0)</f>
        <v>66.666666666666657</v>
      </c>
      <c r="P89" s="46">
        <f>IFERROR(VLOOKUP(D89,Source_Grades!$A:$Z,25,FALSE())*20,0)</f>
        <v>80</v>
      </c>
      <c r="Q89" s="46">
        <f t="shared" si="0"/>
        <v>95.555555555555557</v>
      </c>
      <c r="R89" s="46">
        <f t="shared" si="1"/>
        <v>66.666666666666657</v>
      </c>
      <c r="S89" s="46">
        <f t="shared" si="2"/>
        <v>0</v>
      </c>
      <c r="T89" s="47">
        <f t="shared" si="3"/>
        <v>39.111111111111107</v>
      </c>
      <c r="U89" s="48" t="str">
        <f t="shared" si="4"/>
        <v>نعم</v>
      </c>
      <c r="V89" s="49" t="str">
        <f t="shared" si="5"/>
        <v>لم ينجح</v>
      </c>
    </row>
    <row r="90" spans="1:22" ht="15.7" customHeight="1" thickBot="1" x14ac:dyDescent="0.45">
      <c r="A90" s="78"/>
      <c r="B90" s="61">
        <v>4</v>
      </c>
      <c r="C90" s="62" t="s">
        <v>527</v>
      </c>
      <c r="D90" s="61" t="s">
        <v>528</v>
      </c>
      <c r="E90" s="61" t="s">
        <v>614</v>
      </c>
      <c r="F90" s="61" t="s">
        <v>83</v>
      </c>
      <c r="G90" s="61" t="s">
        <v>894</v>
      </c>
      <c r="H90" s="61" t="s">
        <v>890</v>
      </c>
      <c r="I90" s="75"/>
      <c r="J90" s="42">
        <v>0</v>
      </c>
      <c r="K90" s="75"/>
      <c r="L90" s="75"/>
      <c r="M90" s="71">
        <f t="shared" si="7"/>
        <v>0</v>
      </c>
      <c r="N90" s="44">
        <f>IFERROR(VLOOKUP(D90,Source_Grades!$A:$N,13,FALSE()),0)</f>
        <v>134</v>
      </c>
      <c r="O90" s="45">
        <f>IFERROR(VLOOKUP(D90,Source_Grades!$A:$V,22,FALSE())*100,0)</f>
        <v>83.333333333333343</v>
      </c>
      <c r="P90" s="46">
        <f>IFERROR(VLOOKUP(D90,Source_Grades!$A:$Z,25,FALSE())*20,0)</f>
        <v>100</v>
      </c>
      <c r="Q90" s="46">
        <f t="shared" si="0"/>
        <v>99.259259259259252</v>
      </c>
      <c r="R90" s="46">
        <f t="shared" si="1"/>
        <v>83.333333333333343</v>
      </c>
      <c r="S90" s="46">
        <f t="shared" si="2"/>
        <v>0</v>
      </c>
      <c r="T90" s="47">
        <f t="shared" si="3"/>
        <v>44.851851851851855</v>
      </c>
      <c r="U90" s="48" t="str">
        <f t="shared" si="4"/>
        <v>نعم</v>
      </c>
      <c r="V90" s="49" t="str">
        <f t="shared" si="5"/>
        <v>لم ينجح</v>
      </c>
    </row>
    <row r="91" spans="1:22" ht="15.7" customHeight="1" thickBot="1" x14ac:dyDescent="0.45">
      <c r="A91" s="88"/>
      <c r="B91" s="63">
        <v>5</v>
      </c>
      <c r="C91" s="64" t="s">
        <v>534</v>
      </c>
      <c r="D91" s="63" t="s">
        <v>535</v>
      </c>
      <c r="E91" s="63" t="s">
        <v>81</v>
      </c>
      <c r="F91" s="63" t="s">
        <v>83</v>
      </c>
      <c r="G91" s="63" t="s">
        <v>1223</v>
      </c>
      <c r="H91" s="63" t="s">
        <v>1224</v>
      </c>
      <c r="I91" s="85"/>
      <c r="J91" s="52">
        <v>0</v>
      </c>
      <c r="K91" s="76"/>
      <c r="L91" s="76"/>
      <c r="M91" s="71">
        <f t="shared" si="7"/>
        <v>0</v>
      </c>
      <c r="N91" s="53">
        <f>IFERROR(VLOOKUP(D91,Source_Grades!$A:$N,13,FALSE()),0)</f>
        <v>84.5</v>
      </c>
      <c r="O91" s="54">
        <f>IFERROR(VLOOKUP(D91,Source_Grades!$A:$V,22,FALSE())*100,0)</f>
        <v>83.333333333333343</v>
      </c>
      <c r="P91" s="55">
        <f>IFERROR(VLOOKUP(D91,Source_Grades!$A:$Z,25,FALSE())*20,0)</f>
        <v>100</v>
      </c>
      <c r="Q91" s="55">
        <f t="shared" si="0"/>
        <v>62.592592592592588</v>
      </c>
      <c r="R91" s="55">
        <f t="shared" si="1"/>
        <v>83.333333333333343</v>
      </c>
      <c r="S91" s="55">
        <f t="shared" si="2"/>
        <v>0</v>
      </c>
      <c r="T91" s="56">
        <f t="shared" si="3"/>
        <v>37.518518518518519</v>
      </c>
      <c r="U91" s="57" t="str">
        <f t="shared" si="4"/>
        <v>نعم</v>
      </c>
      <c r="V91" s="58" t="str">
        <f t="shared" si="5"/>
        <v>لم ينجح</v>
      </c>
    </row>
    <row r="92" spans="1:22" ht="15.7" customHeight="1" thickBot="1" x14ac:dyDescent="0.45">
      <c r="A92" s="87" t="s">
        <v>538</v>
      </c>
      <c r="B92" s="13">
        <v>1</v>
      </c>
      <c r="C92" s="14" t="s">
        <v>104</v>
      </c>
      <c r="D92" s="13" t="s">
        <v>103</v>
      </c>
      <c r="E92" s="13" t="s">
        <v>614</v>
      </c>
      <c r="F92" s="13" t="s">
        <v>83</v>
      </c>
      <c r="G92" s="13" t="s">
        <v>112</v>
      </c>
      <c r="H92" s="13" t="s">
        <v>109</v>
      </c>
      <c r="I92" s="86" t="s">
        <v>1028</v>
      </c>
      <c r="J92" s="16">
        <v>0</v>
      </c>
      <c r="K92" s="90">
        <f>IFERROR(_xlfn.XLOOKUP(D92, Project_Scores!$D:$D, Project_Scores!$F:$F, 0), 0)</f>
        <v>0</v>
      </c>
      <c r="L92" s="90">
        <f>IFERROR(_xlfn.XLOOKUP(D92, Project_Scores!$D:$D, Project_Scores!$G:$G, 0), 0)</f>
        <v>0</v>
      </c>
      <c r="M92" s="71">
        <f t="shared" si="7"/>
        <v>0</v>
      </c>
      <c r="N92" s="22">
        <f>IFERROR(VLOOKUP(D92,Source_Grades!$A:$N,13,FALSE()),0)</f>
        <v>0</v>
      </c>
      <c r="O92" s="23">
        <f>IFERROR(VLOOKUP(D92,Source_Grades!$A:$V,22,FALSE())*100,0)</f>
        <v>0</v>
      </c>
      <c r="P92" s="27">
        <f>IFERROR(VLOOKUP(D92,Source_Grades!$A:$Z,25,FALSE())*20,0)</f>
        <v>0</v>
      </c>
      <c r="Q92" s="27">
        <f t="shared" si="0"/>
        <v>0</v>
      </c>
      <c r="R92" s="27">
        <f t="shared" si="1"/>
        <v>0</v>
      </c>
      <c r="S92" s="27">
        <f t="shared" si="2"/>
        <v>0</v>
      </c>
      <c r="T92" s="34">
        <f t="shared" si="3"/>
        <v>0</v>
      </c>
      <c r="U92" s="36" t="str">
        <f t="shared" si="4"/>
        <v>لا</v>
      </c>
      <c r="V92" s="37" t="str">
        <f t="shared" si="5"/>
        <v>لم ينجح</v>
      </c>
    </row>
    <row r="93" spans="1:22" ht="15.7" customHeight="1" thickBot="1" x14ac:dyDescent="0.45">
      <c r="A93" s="78"/>
      <c r="B93" s="38">
        <v>2</v>
      </c>
      <c r="C93" s="39" t="s">
        <v>545</v>
      </c>
      <c r="D93" s="38" t="s">
        <v>546</v>
      </c>
      <c r="E93" s="38" t="s">
        <v>614</v>
      </c>
      <c r="F93" s="38" t="s">
        <v>83</v>
      </c>
      <c r="G93" s="38" t="s">
        <v>1183</v>
      </c>
      <c r="H93" s="38" t="s">
        <v>1181</v>
      </c>
      <c r="I93" s="75"/>
      <c r="J93" s="42">
        <v>0</v>
      </c>
      <c r="K93" s="75"/>
      <c r="L93" s="75"/>
      <c r="M93" s="71">
        <f t="shared" si="7"/>
        <v>0</v>
      </c>
      <c r="N93" s="44">
        <f>IFERROR(VLOOKUP(D93,Source_Grades!$A:$N,13,FALSE()),0)</f>
        <v>0</v>
      </c>
      <c r="O93" s="45">
        <f>IFERROR(VLOOKUP(D93,Source_Grades!$A:$V,22,FALSE())*100,0)</f>
        <v>0</v>
      </c>
      <c r="P93" s="46">
        <f>IFERROR(VLOOKUP(D93,Source_Grades!$A:$Z,25,FALSE())*20,0)</f>
        <v>0</v>
      </c>
      <c r="Q93" s="46">
        <f t="shared" si="0"/>
        <v>0</v>
      </c>
      <c r="R93" s="46">
        <f t="shared" si="1"/>
        <v>0</v>
      </c>
      <c r="S93" s="46">
        <f t="shared" si="2"/>
        <v>0</v>
      </c>
      <c r="T93" s="47">
        <f t="shared" si="3"/>
        <v>0</v>
      </c>
      <c r="U93" s="48" t="str">
        <f t="shared" si="4"/>
        <v>لا</v>
      </c>
      <c r="V93" s="49" t="str">
        <f t="shared" si="5"/>
        <v>لم ينجح</v>
      </c>
    </row>
    <row r="94" spans="1:22" ht="15.7" customHeight="1" thickBot="1" x14ac:dyDescent="0.45">
      <c r="A94" s="78"/>
      <c r="B94" s="38">
        <v>3</v>
      </c>
      <c r="C94" s="39" t="s">
        <v>549</v>
      </c>
      <c r="D94" s="38" t="s">
        <v>551</v>
      </c>
      <c r="E94" s="38" t="s">
        <v>437</v>
      </c>
      <c r="F94" s="38" t="s">
        <v>845</v>
      </c>
      <c r="G94" s="38" t="s">
        <v>627</v>
      </c>
      <c r="H94" s="38" t="s">
        <v>625</v>
      </c>
      <c r="I94" s="75"/>
      <c r="J94" s="42">
        <v>0</v>
      </c>
      <c r="K94" s="75"/>
      <c r="L94" s="75"/>
      <c r="M94" s="71">
        <f t="shared" si="7"/>
        <v>0</v>
      </c>
      <c r="N94" s="44">
        <f>IFERROR(VLOOKUP(D94,Source_Grades!$A:$N,13,FALSE()),0)</f>
        <v>0</v>
      </c>
      <c r="O94" s="45">
        <f>IFERROR(VLOOKUP(D94,Source_Grades!$A:$V,22,FALSE())*100,0)</f>
        <v>83.333333333333343</v>
      </c>
      <c r="P94" s="46">
        <f>IFERROR(VLOOKUP(D94,Source_Grades!$A:$Z,25,FALSE())*20,0)</f>
        <v>100</v>
      </c>
      <c r="Q94" s="46">
        <f t="shared" si="0"/>
        <v>0</v>
      </c>
      <c r="R94" s="46">
        <f t="shared" si="1"/>
        <v>83.333333333333343</v>
      </c>
      <c r="S94" s="46">
        <f t="shared" si="2"/>
        <v>0</v>
      </c>
      <c r="T94" s="47">
        <f t="shared" si="3"/>
        <v>25.000000000000004</v>
      </c>
      <c r="U94" s="48" t="str">
        <f t="shared" si="4"/>
        <v>نعم</v>
      </c>
      <c r="V94" s="49" t="str">
        <f t="shared" si="5"/>
        <v>لم ينجح</v>
      </c>
    </row>
    <row r="95" spans="1:22" ht="15.7" customHeight="1" thickBot="1" x14ac:dyDescent="0.45">
      <c r="A95" s="78"/>
      <c r="B95" s="38">
        <v>4</v>
      </c>
      <c r="C95" s="39" t="s">
        <v>554</v>
      </c>
      <c r="D95" s="38" t="s">
        <v>555</v>
      </c>
      <c r="E95" s="38" t="s">
        <v>614</v>
      </c>
      <c r="F95" s="38" t="s">
        <v>83</v>
      </c>
      <c r="G95" s="38" t="s">
        <v>701</v>
      </c>
      <c r="H95" s="38" t="s">
        <v>699</v>
      </c>
      <c r="I95" s="75"/>
      <c r="J95" s="42">
        <v>0</v>
      </c>
      <c r="K95" s="75"/>
      <c r="L95" s="75"/>
      <c r="M95" s="71">
        <f t="shared" si="7"/>
        <v>0</v>
      </c>
      <c r="N95" s="44">
        <f>IFERROR(VLOOKUP(D95,Source_Grades!$A:$N,13,FALSE()),0)</f>
        <v>0</v>
      </c>
      <c r="O95" s="45">
        <f>IFERROR(VLOOKUP(D95,Source_Grades!$A:$V,22,FALSE())*100,0)</f>
        <v>16.666666666666664</v>
      </c>
      <c r="P95" s="46">
        <f>IFERROR(VLOOKUP(D95,Source_Grades!$A:$Z,25,FALSE())*20,0)</f>
        <v>20</v>
      </c>
      <c r="Q95" s="46">
        <f t="shared" si="0"/>
        <v>0</v>
      </c>
      <c r="R95" s="46">
        <f t="shared" si="1"/>
        <v>16.666666666666664</v>
      </c>
      <c r="S95" s="46">
        <f t="shared" si="2"/>
        <v>0</v>
      </c>
      <c r="T95" s="47">
        <f t="shared" si="3"/>
        <v>4.9999999999999991</v>
      </c>
      <c r="U95" s="48" t="str">
        <f t="shared" si="4"/>
        <v>لا</v>
      </c>
      <c r="V95" s="49" t="str">
        <f t="shared" si="5"/>
        <v>لم ينجح</v>
      </c>
    </row>
    <row r="96" spans="1:22" ht="15.7" customHeight="1" thickBot="1" x14ac:dyDescent="0.45">
      <c r="A96" s="88"/>
      <c r="B96" s="50">
        <v>5</v>
      </c>
      <c r="C96" s="51" t="s">
        <v>559</v>
      </c>
      <c r="D96" s="50" t="s">
        <v>561</v>
      </c>
      <c r="E96" s="50" t="s">
        <v>437</v>
      </c>
      <c r="F96" s="50" t="s">
        <v>1299</v>
      </c>
      <c r="G96" s="50" t="s">
        <v>1300</v>
      </c>
      <c r="H96" s="50" t="s">
        <v>1301</v>
      </c>
      <c r="I96" s="85"/>
      <c r="J96" s="52">
        <v>0</v>
      </c>
      <c r="K96" s="76"/>
      <c r="L96" s="76"/>
      <c r="M96" s="71">
        <f t="shared" si="7"/>
        <v>0</v>
      </c>
      <c r="N96" s="53">
        <f>IFERROR(VLOOKUP(D96,Source_Grades!$A:$N,13,FALSE()),0)</f>
        <v>0</v>
      </c>
      <c r="O96" s="54">
        <f>IFERROR(VLOOKUP(D96,Source_Grades!$A:$V,22,FALSE())*100,0)</f>
        <v>0</v>
      </c>
      <c r="P96" s="55">
        <f>IFERROR(VLOOKUP(D96,Source_Grades!$A:$Z,25,FALSE())*20,0)</f>
        <v>0</v>
      </c>
      <c r="Q96" s="55">
        <f t="shared" si="0"/>
        <v>0</v>
      </c>
      <c r="R96" s="55">
        <f t="shared" si="1"/>
        <v>0</v>
      </c>
      <c r="S96" s="55">
        <f t="shared" si="2"/>
        <v>0</v>
      </c>
      <c r="T96" s="56">
        <f t="shared" si="3"/>
        <v>0</v>
      </c>
      <c r="U96" s="57" t="str">
        <f t="shared" si="4"/>
        <v>لا</v>
      </c>
      <c r="V96" s="58" t="str">
        <f t="shared" si="5"/>
        <v>لم ينجح</v>
      </c>
    </row>
    <row r="97" spans="1:22" ht="15.7" customHeight="1" thickBot="1" x14ac:dyDescent="0.45">
      <c r="A97" s="89" t="s">
        <v>565</v>
      </c>
      <c r="B97" s="59">
        <v>1</v>
      </c>
      <c r="C97" s="60" t="s">
        <v>566</v>
      </c>
      <c r="D97" s="59" t="s">
        <v>567</v>
      </c>
      <c r="E97" s="59" t="s">
        <v>614</v>
      </c>
      <c r="F97" s="59" t="s">
        <v>969</v>
      </c>
      <c r="G97" s="59" t="s">
        <v>1317</v>
      </c>
      <c r="H97" s="59" t="s">
        <v>1307</v>
      </c>
      <c r="I97" s="84" t="s">
        <v>761</v>
      </c>
      <c r="J97" s="16">
        <v>0</v>
      </c>
      <c r="K97" s="90">
        <f>IFERROR(_xlfn.XLOOKUP(D97, Project_Scores!$D:$D, Project_Scores!$F:$F, 0), 0)</f>
        <v>0</v>
      </c>
      <c r="L97" s="90">
        <f>IFERROR(_xlfn.XLOOKUP(D97, Project_Scores!$D:$D, Project_Scores!$G:$G, 0), 0)</f>
        <v>0</v>
      </c>
      <c r="M97" s="71">
        <f t="shared" si="7"/>
        <v>0</v>
      </c>
      <c r="N97" s="22">
        <f>IFERROR(VLOOKUP(D97,Source_Grades!$A:$N,13,FALSE()),0)</f>
        <v>79</v>
      </c>
      <c r="O97" s="23">
        <f>IFERROR(VLOOKUP(D97,Source_Grades!$A:$V,22,FALSE())*100,0)</f>
        <v>83.333333333333343</v>
      </c>
      <c r="P97" s="27">
        <f>IFERROR(VLOOKUP(D97,Source_Grades!$A:$Z,25,FALSE())*20,0)</f>
        <v>100</v>
      </c>
      <c r="Q97" s="27">
        <f t="shared" si="0"/>
        <v>58.518518518518512</v>
      </c>
      <c r="R97" s="27">
        <f t="shared" si="1"/>
        <v>83.333333333333343</v>
      </c>
      <c r="S97" s="27">
        <f t="shared" si="2"/>
        <v>0</v>
      </c>
      <c r="T97" s="34">
        <f t="shared" si="3"/>
        <v>36.703703703703709</v>
      </c>
      <c r="U97" s="36" t="str">
        <f t="shared" si="4"/>
        <v>نعم</v>
      </c>
      <c r="V97" s="37" t="str">
        <f t="shared" si="5"/>
        <v>لم ينجح</v>
      </c>
    </row>
    <row r="98" spans="1:22" ht="15.7" customHeight="1" thickBot="1" x14ac:dyDescent="0.45">
      <c r="A98" s="78"/>
      <c r="B98" s="61">
        <v>2</v>
      </c>
      <c r="C98" s="62" t="s">
        <v>572</v>
      </c>
      <c r="D98" s="61" t="s">
        <v>573</v>
      </c>
      <c r="E98" s="61" t="s">
        <v>614</v>
      </c>
      <c r="F98" s="61" t="s">
        <v>969</v>
      </c>
      <c r="G98" s="61" t="s">
        <v>1330</v>
      </c>
      <c r="H98" s="61" t="s">
        <v>803</v>
      </c>
      <c r="I98" s="75"/>
      <c r="J98" s="42">
        <v>0</v>
      </c>
      <c r="K98" s="75"/>
      <c r="L98" s="75"/>
      <c r="M98" s="71">
        <f t="shared" si="7"/>
        <v>0</v>
      </c>
      <c r="N98" s="44">
        <f>IFERROR(VLOOKUP(D98,Source_Grades!$A:$N,13,FALSE()),0)</f>
        <v>134</v>
      </c>
      <c r="O98" s="45">
        <f>IFERROR(VLOOKUP(D98,Source_Grades!$A:$V,22,FALSE())*100,0)</f>
        <v>66.666666666666657</v>
      </c>
      <c r="P98" s="46">
        <f>IFERROR(VLOOKUP(D98,Source_Grades!$A:$Z,25,FALSE())*20,0)</f>
        <v>80</v>
      </c>
      <c r="Q98" s="46">
        <f t="shared" si="0"/>
        <v>99.259259259259252</v>
      </c>
      <c r="R98" s="46">
        <f t="shared" si="1"/>
        <v>66.666666666666657</v>
      </c>
      <c r="S98" s="46">
        <f t="shared" si="2"/>
        <v>0</v>
      </c>
      <c r="T98" s="47">
        <f t="shared" si="3"/>
        <v>39.851851851851848</v>
      </c>
      <c r="U98" s="48" t="str">
        <f t="shared" si="4"/>
        <v>نعم</v>
      </c>
      <c r="V98" s="49" t="str">
        <f t="shared" si="5"/>
        <v>لم ينجح</v>
      </c>
    </row>
    <row r="99" spans="1:22" ht="15.7" customHeight="1" thickBot="1" x14ac:dyDescent="0.45">
      <c r="A99" s="78"/>
      <c r="B99" s="61">
        <v>3</v>
      </c>
      <c r="C99" s="62" t="s">
        <v>576</v>
      </c>
      <c r="D99" s="61" t="s">
        <v>578</v>
      </c>
      <c r="E99" s="61" t="s">
        <v>614</v>
      </c>
      <c r="F99" s="61" t="s">
        <v>1340</v>
      </c>
      <c r="G99" s="61" t="s">
        <v>1341</v>
      </c>
      <c r="H99" s="61" t="s">
        <v>707</v>
      </c>
      <c r="I99" s="75"/>
      <c r="J99" s="42">
        <v>0</v>
      </c>
      <c r="K99" s="75"/>
      <c r="L99" s="75"/>
      <c r="M99" s="71">
        <f t="shared" si="7"/>
        <v>0</v>
      </c>
      <c r="N99" s="44">
        <f>IFERROR(VLOOKUP(D99,Source_Grades!$A:$N,13,FALSE()),0)</f>
        <v>135</v>
      </c>
      <c r="O99" s="45">
        <f>IFERROR(VLOOKUP(D99,Source_Grades!$A:$V,22,FALSE())*100,0)</f>
        <v>83.333333333333343</v>
      </c>
      <c r="P99" s="46">
        <f>IFERROR(VLOOKUP(D99,Source_Grades!$A:$Z,25,FALSE())*20,0)</f>
        <v>100</v>
      </c>
      <c r="Q99" s="46">
        <f t="shared" si="0"/>
        <v>100</v>
      </c>
      <c r="R99" s="46">
        <f t="shared" si="1"/>
        <v>83.333333333333343</v>
      </c>
      <c r="S99" s="46">
        <f t="shared" si="2"/>
        <v>0</v>
      </c>
      <c r="T99" s="47">
        <f t="shared" si="3"/>
        <v>45</v>
      </c>
      <c r="U99" s="48" t="str">
        <f t="shared" si="4"/>
        <v>نعم</v>
      </c>
      <c r="V99" s="49" t="str">
        <f t="shared" si="5"/>
        <v>لم ينجح</v>
      </c>
    </row>
    <row r="100" spans="1:22" ht="15.7" customHeight="1" thickBot="1" x14ac:dyDescent="0.45">
      <c r="A100" s="78"/>
      <c r="B100" s="61">
        <v>4</v>
      </c>
      <c r="C100" s="62" t="s">
        <v>580</v>
      </c>
      <c r="D100" s="61" t="s">
        <v>582</v>
      </c>
      <c r="E100" s="61" t="s">
        <v>614</v>
      </c>
      <c r="F100" s="61" t="s">
        <v>969</v>
      </c>
      <c r="G100" s="61" t="s">
        <v>1346</v>
      </c>
      <c r="H100" s="61" t="s">
        <v>1311</v>
      </c>
      <c r="I100" s="75"/>
      <c r="J100" s="42">
        <v>0</v>
      </c>
      <c r="K100" s="75"/>
      <c r="L100" s="75"/>
      <c r="M100" s="71">
        <f t="shared" si="7"/>
        <v>0</v>
      </c>
      <c r="N100" s="44">
        <f>IFERROR(VLOOKUP(D100,Source_Grades!$A:$N,13,FALSE()),0)</f>
        <v>92</v>
      </c>
      <c r="O100" s="45">
        <f>IFERROR(VLOOKUP(D100,Source_Grades!$A:$V,22,FALSE())*100,0)</f>
        <v>66.666666666666657</v>
      </c>
      <c r="P100" s="46">
        <f>IFERROR(VLOOKUP(D100,Source_Grades!$A:$Z,25,FALSE())*20,0)</f>
        <v>80</v>
      </c>
      <c r="Q100" s="46">
        <f t="shared" si="0"/>
        <v>68.148148148148152</v>
      </c>
      <c r="R100" s="46">
        <f t="shared" si="1"/>
        <v>66.666666666666657</v>
      </c>
      <c r="S100" s="46">
        <f t="shared" si="2"/>
        <v>0</v>
      </c>
      <c r="T100" s="47">
        <f t="shared" si="3"/>
        <v>33.629629629629626</v>
      </c>
      <c r="U100" s="48" t="str">
        <f t="shared" si="4"/>
        <v>نعم</v>
      </c>
      <c r="V100" s="49" t="str">
        <f t="shared" si="5"/>
        <v>لم ينجح</v>
      </c>
    </row>
    <row r="101" spans="1:22" ht="15.7" customHeight="1" thickBot="1" x14ac:dyDescent="0.45">
      <c r="A101" s="88"/>
      <c r="B101" s="63">
        <v>5</v>
      </c>
      <c r="C101" s="64" t="s">
        <v>587</v>
      </c>
      <c r="D101" s="63" t="s">
        <v>588</v>
      </c>
      <c r="E101" s="63" t="s">
        <v>614</v>
      </c>
      <c r="F101" s="63" t="s">
        <v>969</v>
      </c>
      <c r="G101" s="63" t="s">
        <v>694</v>
      </c>
      <c r="H101" s="63" t="s">
        <v>692</v>
      </c>
      <c r="I101" s="85"/>
      <c r="J101" s="52">
        <v>0</v>
      </c>
      <c r="K101" s="76"/>
      <c r="L101" s="76"/>
      <c r="M101" s="71">
        <f t="shared" si="7"/>
        <v>0</v>
      </c>
      <c r="N101" s="53">
        <f>IFERROR(VLOOKUP(D101,Source_Grades!$A:$N,13,FALSE()),0)</f>
        <v>113</v>
      </c>
      <c r="O101" s="54">
        <f>IFERROR(VLOOKUP(D101,Source_Grades!$A:$V,22,FALSE())*100,0)</f>
        <v>66.666666666666657</v>
      </c>
      <c r="P101" s="55">
        <f>IFERROR(VLOOKUP(D101,Source_Grades!$A:$Z,25,FALSE())*20,0)</f>
        <v>80</v>
      </c>
      <c r="Q101" s="55">
        <f t="shared" si="0"/>
        <v>83.703703703703695</v>
      </c>
      <c r="R101" s="55">
        <f t="shared" si="1"/>
        <v>66.666666666666657</v>
      </c>
      <c r="S101" s="55">
        <f t="shared" si="2"/>
        <v>0</v>
      </c>
      <c r="T101" s="56">
        <f t="shared" si="3"/>
        <v>36.740740740740733</v>
      </c>
      <c r="U101" s="57" t="str">
        <f t="shared" si="4"/>
        <v>نعم</v>
      </c>
      <c r="V101" s="58" t="str">
        <f t="shared" si="5"/>
        <v>لم ينجح</v>
      </c>
    </row>
    <row r="102" spans="1:22" ht="15.7" customHeight="1" thickBot="1" x14ac:dyDescent="0.45">
      <c r="A102" s="87" t="s">
        <v>589</v>
      </c>
      <c r="B102" s="13">
        <v>1</v>
      </c>
      <c r="C102" s="14" t="s">
        <v>592</v>
      </c>
      <c r="D102" s="13" t="s">
        <v>593</v>
      </c>
      <c r="E102" s="13" t="s">
        <v>437</v>
      </c>
      <c r="F102" s="13" t="s">
        <v>439</v>
      </c>
      <c r="G102" s="13" t="s">
        <v>1088</v>
      </c>
      <c r="H102" s="13" t="s">
        <v>1086</v>
      </c>
      <c r="I102" s="86" t="s">
        <v>87</v>
      </c>
      <c r="J102" s="16">
        <v>0</v>
      </c>
      <c r="K102" s="90">
        <f>IFERROR(_xlfn.XLOOKUP(D102, Project_Scores!$D:$D, Project_Scores!$F:$F, 0), 0)</f>
        <v>0</v>
      </c>
      <c r="L102" s="90">
        <f>IFERROR(_xlfn.XLOOKUP(D102, Project_Scores!$D:$D, Project_Scores!$G:$G, 0), 0)</f>
        <v>0</v>
      </c>
      <c r="M102" s="71">
        <f t="shared" si="7"/>
        <v>0</v>
      </c>
      <c r="N102" s="22">
        <f>IFERROR(VLOOKUP(D102,Source_Grades!$A:$N,13,FALSE()),0)</f>
        <v>75</v>
      </c>
      <c r="O102" s="23">
        <f>IFERROR(VLOOKUP(D102,Source_Grades!$A:$V,22,FALSE())*100,0)</f>
        <v>66.666666666666657</v>
      </c>
      <c r="P102" s="27">
        <f>IFERROR(VLOOKUP(D102,Source_Grades!$A:$Z,25,FALSE())*20,0)</f>
        <v>80</v>
      </c>
      <c r="Q102" s="27">
        <f t="shared" si="0"/>
        <v>55.555555555555557</v>
      </c>
      <c r="R102" s="27">
        <f t="shared" si="1"/>
        <v>66.666666666666657</v>
      </c>
      <c r="S102" s="27">
        <f t="shared" si="2"/>
        <v>0</v>
      </c>
      <c r="T102" s="34">
        <f t="shared" si="3"/>
        <v>31.111111111111107</v>
      </c>
      <c r="U102" s="36" t="str">
        <f t="shared" si="4"/>
        <v>نعم</v>
      </c>
      <c r="V102" s="37" t="str">
        <f t="shared" si="5"/>
        <v>لم ينجح</v>
      </c>
    </row>
    <row r="103" spans="1:22" ht="15.7" customHeight="1" thickBot="1" x14ac:dyDescent="0.45">
      <c r="A103" s="78"/>
      <c r="B103" s="38">
        <v>2</v>
      </c>
      <c r="C103" s="39" t="s">
        <v>351</v>
      </c>
      <c r="D103" s="38" t="s">
        <v>350</v>
      </c>
      <c r="E103" s="38" t="s">
        <v>614</v>
      </c>
      <c r="F103" s="38" t="s">
        <v>83</v>
      </c>
      <c r="G103" s="38" t="s">
        <v>357</v>
      </c>
      <c r="H103" s="38" t="s">
        <v>355</v>
      </c>
      <c r="I103" s="75"/>
      <c r="J103" s="42">
        <v>0</v>
      </c>
      <c r="K103" s="75"/>
      <c r="L103" s="75"/>
      <c r="M103" s="71">
        <f t="shared" si="7"/>
        <v>0</v>
      </c>
      <c r="N103" s="44">
        <f>IFERROR(VLOOKUP(D103,Source_Grades!$A:$N,13,FALSE()),0)</f>
        <v>138</v>
      </c>
      <c r="O103" s="45">
        <f>IFERROR(VLOOKUP(D103,Source_Grades!$A:$V,22,FALSE())*100,0)</f>
        <v>83.333333333333343</v>
      </c>
      <c r="P103" s="46">
        <f>IFERROR(VLOOKUP(D103,Source_Grades!$A:$Z,25,FALSE())*20,0)</f>
        <v>100</v>
      </c>
      <c r="Q103" s="46">
        <f t="shared" si="0"/>
        <v>102.22222222222221</v>
      </c>
      <c r="R103" s="46">
        <f t="shared" si="1"/>
        <v>83.333333333333343</v>
      </c>
      <c r="S103" s="46">
        <f t="shared" si="2"/>
        <v>0</v>
      </c>
      <c r="T103" s="47">
        <f t="shared" si="3"/>
        <v>45.444444444444443</v>
      </c>
      <c r="U103" s="48" t="str">
        <f t="shared" si="4"/>
        <v>نعم</v>
      </c>
      <c r="V103" s="49" t="str">
        <f t="shared" si="5"/>
        <v>لم ينجح</v>
      </c>
    </row>
    <row r="104" spans="1:22" ht="15.7" customHeight="1" thickBot="1" x14ac:dyDescent="0.45">
      <c r="A104" s="78"/>
      <c r="B104" s="38">
        <v>3</v>
      </c>
      <c r="C104" s="39" t="s">
        <v>604</v>
      </c>
      <c r="D104" s="38" t="s">
        <v>605</v>
      </c>
      <c r="E104" s="38" t="s">
        <v>614</v>
      </c>
      <c r="F104" s="38" t="s">
        <v>83</v>
      </c>
      <c r="G104" s="38" t="s">
        <v>1145</v>
      </c>
      <c r="H104" s="38" t="s">
        <v>1143</v>
      </c>
      <c r="I104" s="75"/>
      <c r="J104" s="42">
        <v>0</v>
      </c>
      <c r="K104" s="75"/>
      <c r="L104" s="75"/>
      <c r="M104" s="71">
        <f t="shared" si="7"/>
        <v>0</v>
      </c>
      <c r="N104" s="44">
        <f>IFERROR(VLOOKUP(D104,Source_Grades!$A:$N,13,FALSE()),0)</f>
        <v>81</v>
      </c>
      <c r="O104" s="45">
        <f>IFERROR(VLOOKUP(D104,Source_Grades!$A:$V,22,FALSE())*100,0)</f>
        <v>66.666666666666657</v>
      </c>
      <c r="P104" s="46">
        <f>IFERROR(VLOOKUP(D104,Source_Grades!$A:$Z,25,FALSE())*20,0)</f>
        <v>80</v>
      </c>
      <c r="Q104" s="46">
        <f t="shared" si="0"/>
        <v>60</v>
      </c>
      <c r="R104" s="46">
        <f t="shared" si="1"/>
        <v>66.666666666666657</v>
      </c>
      <c r="S104" s="46">
        <f t="shared" si="2"/>
        <v>0</v>
      </c>
      <c r="T104" s="47">
        <f t="shared" si="3"/>
        <v>31.999999999999996</v>
      </c>
      <c r="U104" s="48" t="str">
        <f t="shared" si="4"/>
        <v>نعم</v>
      </c>
      <c r="V104" s="49" t="str">
        <f t="shared" si="5"/>
        <v>لم ينجح</v>
      </c>
    </row>
    <row r="105" spans="1:22" ht="15.7" customHeight="1" thickBot="1" x14ac:dyDescent="0.45">
      <c r="A105" s="78"/>
      <c r="B105" s="38">
        <v>4</v>
      </c>
      <c r="C105" s="39" t="s">
        <v>606</v>
      </c>
      <c r="D105" s="38" t="s">
        <v>607</v>
      </c>
      <c r="E105" s="38" t="s">
        <v>81</v>
      </c>
      <c r="F105" s="38" t="s">
        <v>83</v>
      </c>
      <c r="G105" s="38" t="s">
        <v>873</v>
      </c>
      <c r="H105" s="38" t="s">
        <v>1380</v>
      </c>
      <c r="I105" s="75"/>
      <c r="J105" s="42">
        <v>0</v>
      </c>
      <c r="K105" s="75"/>
      <c r="L105" s="75"/>
      <c r="M105" s="71">
        <f t="shared" si="7"/>
        <v>0</v>
      </c>
      <c r="N105" s="44">
        <f>IFERROR(VLOOKUP(D105,Source_Grades!$A:$N,13,FALSE()),0)</f>
        <v>99</v>
      </c>
      <c r="O105" s="45">
        <f>IFERROR(VLOOKUP(D105,Source_Grades!$A:$V,22,FALSE())*100,0)</f>
        <v>66.666666666666657</v>
      </c>
      <c r="P105" s="46">
        <f>IFERROR(VLOOKUP(D105,Source_Grades!$A:$Z,25,FALSE())*20,0)</f>
        <v>80</v>
      </c>
      <c r="Q105" s="46">
        <f t="shared" si="0"/>
        <v>73.333333333333329</v>
      </c>
      <c r="R105" s="46">
        <f t="shared" si="1"/>
        <v>66.666666666666657</v>
      </c>
      <c r="S105" s="46">
        <f t="shared" si="2"/>
        <v>0</v>
      </c>
      <c r="T105" s="47">
        <f t="shared" si="3"/>
        <v>34.666666666666664</v>
      </c>
      <c r="U105" s="48" t="str">
        <f t="shared" si="4"/>
        <v>نعم</v>
      </c>
      <c r="V105" s="49" t="str">
        <f t="shared" si="5"/>
        <v>لم ينجح</v>
      </c>
    </row>
    <row r="106" spans="1:22" ht="15.7" customHeight="1" thickBot="1" x14ac:dyDescent="0.45">
      <c r="A106" s="88"/>
      <c r="B106" s="50">
        <v>5</v>
      </c>
      <c r="C106" s="51" t="s">
        <v>612</v>
      </c>
      <c r="D106" s="50" t="s">
        <v>613</v>
      </c>
      <c r="E106" s="50" t="s">
        <v>614</v>
      </c>
      <c r="F106" s="50" t="s">
        <v>83</v>
      </c>
      <c r="G106" s="50" t="s">
        <v>1319</v>
      </c>
      <c r="H106" s="50" t="s">
        <v>1316</v>
      </c>
      <c r="I106" s="85"/>
      <c r="J106" s="52">
        <v>0</v>
      </c>
      <c r="K106" s="76"/>
      <c r="L106" s="76"/>
      <c r="M106" s="71">
        <f t="shared" si="7"/>
        <v>0</v>
      </c>
      <c r="N106" s="53">
        <f>IFERROR(VLOOKUP(D106,Source_Grades!$A:$N,13,FALSE()),0)</f>
        <v>74</v>
      </c>
      <c r="O106" s="54">
        <f>IFERROR(VLOOKUP(D106,Source_Grades!$A:$V,22,FALSE())*100,0)</f>
        <v>66.666666666666657</v>
      </c>
      <c r="P106" s="55">
        <f>IFERROR(VLOOKUP(D106,Source_Grades!$A:$Z,25,FALSE())*20,0)</f>
        <v>80</v>
      </c>
      <c r="Q106" s="55">
        <f t="shared" si="0"/>
        <v>54.814814814814817</v>
      </c>
      <c r="R106" s="55">
        <f t="shared" si="1"/>
        <v>66.666666666666657</v>
      </c>
      <c r="S106" s="55">
        <f t="shared" si="2"/>
        <v>0</v>
      </c>
      <c r="T106" s="56">
        <f t="shared" si="3"/>
        <v>30.962962962962962</v>
      </c>
      <c r="U106" s="57" t="str">
        <f t="shared" si="4"/>
        <v>نعم</v>
      </c>
      <c r="V106" s="58" t="str">
        <f t="shared" si="5"/>
        <v>لم ينجح</v>
      </c>
    </row>
    <row r="107" spans="1:22" ht="15.7" customHeight="1" thickBot="1" x14ac:dyDescent="0.45">
      <c r="A107" s="89" t="s">
        <v>618</v>
      </c>
      <c r="B107" s="59">
        <v>1</v>
      </c>
      <c r="C107" s="60" t="s">
        <v>444</v>
      </c>
      <c r="D107" s="59" t="s">
        <v>443</v>
      </c>
      <c r="E107" s="59" t="s">
        <v>614</v>
      </c>
      <c r="F107" s="59" t="s">
        <v>83</v>
      </c>
      <c r="G107" s="59" t="s">
        <v>448</v>
      </c>
      <c r="H107" s="59" t="s">
        <v>446</v>
      </c>
      <c r="I107" s="84" t="s">
        <v>248</v>
      </c>
      <c r="J107" s="16">
        <v>0</v>
      </c>
      <c r="K107" s="90">
        <f>IFERROR(_xlfn.XLOOKUP(D107, Project_Scores!$D:$D, Project_Scores!$F:$F, 0), 0)</f>
        <v>0</v>
      </c>
      <c r="L107" s="90">
        <f>IFERROR(_xlfn.XLOOKUP(D107, Project_Scores!$D:$D, Project_Scores!$G:$G, 0), 0)</f>
        <v>0</v>
      </c>
      <c r="M107" s="71">
        <f t="shared" si="7"/>
        <v>0</v>
      </c>
      <c r="N107" s="22">
        <f>IFERROR(VLOOKUP(D107,Source_Grades!$A:$N,13,FALSE()),0)</f>
        <v>100</v>
      </c>
      <c r="O107" s="23">
        <f>IFERROR(VLOOKUP(D107,Source_Grades!$A:$V,22,FALSE())*100,0)</f>
        <v>66.666666666666657</v>
      </c>
      <c r="P107" s="27">
        <f>IFERROR(VLOOKUP(D107,Source_Grades!$A:$Z,25,FALSE())*20,0)</f>
        <v>80</v>
      </c>
      <c r="Q107" s="27">
        <f t="shared" si="0"/>
        <v>74.074074074074076</v>
      </c>
      <c r="R107" s="27">
        <f t="shared" si="1"/>
        <v>66.666666666666657</v>
      </c>
      <c r="S107" s="27">
        <f t="shared" si="2"/>
        <v>0</v>
      </c>
      <c r="T107" s="34">
        <f t="shared" si="3"/>
        <v>34.81481481481481</v>
      </c>
      <c r="U107" s="36" t="str">
        <f t="shared" si="4"/>
        <v>نعم</v>
      </c>
      <c r="V107" s="37" t="str">
        <f t="shared" si="5"/>
        <v>لم ينجح</v>
      </c>
    </row>
    <row r="108" spans="1:22" ht="15.7" customHeight="1" thickBot="1" x14ac:dyDescent="0.45">
      <c r="A108" s="78"/>
      <c r="B108" s="61">
        <v>2</v>
      </c>
      <c r="C108" s="62" t="s">
        <v>622</v>
      </c>
      <c r="D108" s="61" t="s">
        <v>623</v>
      </c>
      <c r="E108" s="61" t="s">
        <v>614</v>
      </c>
      <c r="F108" s="61" t="s">
        <v>83</v>
      </c>
      <c r="G108" s="61" t="s">
        <v>1103</v>
      </c>
      <c r="H108" s="61" t="s">
        <v>1101</v>
      </c>
      <c r="I108" s="75"/>
      <c r="J108" s="42">
        <v>0</v>
      </c>
      <c r="K108" s="75"/>
      <c r="L108" s="75"/>
      <c r="M108" s="71">
        <f t="shared" si="7"/>
        <v>0</v>
      </c>
      <c r="N108" s="44">
        <f>IFERROR(VLOOKUP(D108,Source_Grades!$A:$N,13,FALSE()),0)</f>
        <v>126.5</v>
      </c>
      <c r="O108" s="45">
        <f>IFERROR(VLOOKUP(D108,Source_Grades!$A:$V,22,FALSE())*100,0)</f>
        <v>83.333333333333343</v>
      </c>
      <c r="P108" s="46">
        <f>IFERROR(VLOOKUP(D108,Source_Grades!$A:$Z,25,FALSE())*20,0)</f>
        <v>100</v>
      </c>
      <c r="Q108" s="46">
        <f t="shared" si="0"/>
        <v>93.703703703703695</v>
      </c>
      <c r="R108" s="46">
        <f t="shared" si="1"/>
        <v>83.333333333333343</v>
      </c>
      <c r="S108" s="46">
        <f t="shared" si="2"/>
        <v>0</v>
      </c>
      <c r="T108" s="47">
        <f t="shared" si="3"/>
        <v>43.740740740740748</v>
      </c>
      <c r="U108" s="48" t="str">
        <f t="shared" si="4"/>
        <v>نعم</v>
      </c>
      <c r="V108" s="49" t="str">
        <f t="shared" si="5"/>
        <v>لم ينجح</v>
      </c>
    </row>
    <row r="109" spans="1:22" ht="15.7" customHeight="1" thickBot="1" x14ac:dyDescent="0.45">
      <c r="A109" s="78"/>
      <c r="B109" s="61">
        <v>3</v>
      </c>
      <c r="C109" s="62" t="s">
        <v>628</v>
      </c>
      <c r="D109" s="61" t="s">
        <v>340</v>
      </c>
      <c r="E109" s="61" t="s">
        <v>81</v>
      </c>
      <c r="F109" s="61" t="s">
        <v>83</v>
      </c>
      <c r="G109" s="61" t="s">
        <v>345</v>
      </c>
      <c r="H109" s="61" t="s">
        <v>343</v>
      </c>
      <c r="I109" s="75"/>
      <c r="J109" s="42">
        <v>0</v>
      </c>
      <c r="K109" s="75"/>
      <c r="L109" s="75"/>
      <c r="M109" s="71">
        <f t="shared" si="7"/>
        <v>0</v>
      </c>
      <c r="N109" s="44">
        <f>IFERROR(VLOOKUP(D109,Source_Grades!$A:$N,13,FALSE()),0)</f>
        <v>90</v>
      </c>
      <c r="O109" s="45">
        <f>IFERROR(VLOOKUP(D109,Source_Grades!$A:$V,22,FALSE())*100,0)</f>
        <v>66.666666666666657</v>
      </c>
      <c r="P109" s="46">
        <f>IFERROR(VLOOKUP(D109,Source_Grades!$A:$Z,25,FALSE())*20,0)</f>
        <v>80</v>
      </c>
      <c r="Q109" s="46">
        <f t="shared" si="0"/>
        <v>66.666666666666657</v>
      </c>
      <c r="R109" s="46">
        <f t="shared" si="1"/>
        <v>66.666666666666657</v>
      </c>
      <c r="S109" s="46">
        <f t="shared" si="2"/>
        <v>0</v>
      </c>
      <c r="T109" s="47">
        <f t="shared" si="3"/>
        <v>33.333333333333329</v>
      </c>
      <c r="U109" s="48" t="str">
        <f t="shared" si="4"/>
        <v>نعم</v>
      </c>
      <c r="V109" s="49" t="str">
        <f t="shared" si="5"/>
        <v>لم ينجح</v>
      </c>
    </row>
    <row r="110" spans="1:22" ht="15.7" customHeight="1" thickBot="1" x14ac:dyDescent="0.45">
      <c r="A110" s="78"/>
      <c r="B110" s="61">
        <v>4</v>
      </c>
      <c r="C110" s="62" t="s">
        <v>631</v>
      </c>
      <c r="D110" s="61" t="s">
        <v>632</v>
      </c>
      <c r="E110" s="61" t="s">
        <v>437</v>
      </c>
      <c r="F110" s="61" t="s">
        <v>1299</v>
      </c>
      <c r="G110" s="61" t="s">
        <v>903</v>
      </c>
      <c r="H110" s="61" t="s">
        <v>901</v>
      </c>
      <c r="I110" s="75"/>
      <c r="J110" s="42">
        <v>0</v>
      </c>
      <c r="K110" s="75"/>
      <c r="L110" s="75"/>
      <c r="M110" s="71">
        <f t="shared" si="7"/>
        <v>0</v>
      </c>
      <c r="N110" s="44">
        <f>IFERROR(VLOOKUP(D110,Source_Grades!$A:$N,13,FALSE()),0)</f>
        <v>60</v>
      </c>
      <c r="O110" s="45">
        <f>IFERROR(VLOOKUP(D110,Source_Grades!$A:$V,22,FALSE())*100,0)</f>
        <v>66.666666666666657</v>
      </c>
      <c r="P110" s="46">
        <f>IFERROR(VLOOKUP(D110,Source_Grades!$A:$Z,25,FALSE())*20,0)</f>
        <v>80</v>
      </c>
      <c r="Q110" s="46">
        <f t="shared" si="0"/>
        <v>44.444444444444443</v>
      </c>
      <c r="R110" s="46">
        <f t="shared" si="1"/>
        <v>66.666666666666657</v>
      </c>
      <c r="S110" s="46">
        <f t="shared" si="2"/>
        <v>0</v>
      </c>
      <c r="T110" s="47">
        <f t="shared" si="3"/>
        <v>28.888888888888886</v>
      </c>
      <c r="U110" s="48" t="str">
        <f t="shared" si="4"/>
        <v>نعم</v>
      </c>
      <c r="V110" s="49" t="str">
        <f t="shared" si="5"/>
        <v>لم ينجح</v>
      </c>
    </row>
    <row r="111" spans="1:22" ht="15.7" customHeight="1" thickBot="1" x14ac:dyDescent="0.45">
      <c r="A111" s="88"/>
      <c r="B111" s="63">
        <v>5</v>
      </c>
      <c r="C111" s="64" t="s">
        <v>638</v>
      </c>
      <c r="D111" s="63" t="s">
        <v>639</v>
      </c>
      <c r="E111" s="63" t="s">
        <v>81</v>
      </c>
      <c r="F111" s="63" t="s">
        <v>83</v>
      </c>
      <c r="G111" s="63" t="s">
        <v>882</v>
      </c>
      <c r="H111" s="63" t="s">
        <v>880</v>
      </c>
      <c r="I111" s="85"/>
      <c r="J111" s="52">
        <v>0</v>
      </c>
      <c r="K111" s="76"/>
      <c r="L111" s="76"/>
      <c r="M111" s="71">
        <f t="shared" si="7"/>
        <v>0</v>
      </c>
      <c r="N111" s="53">
        <f>IFERROR(VLOOKUP(D111,Source_Grades!$A:$N,13,FALSE()),0)</f>
        <v>136</v>
      </c>
      <c r="O111" s="54">
        <f>IFERROR(VLOOKUP(D111,Source_Grades!$A:$V,22,FALSE())*100,0)</f>
        <v>66.666666666666657</v>
      </c>
      <c r="P111" s="55">
        <f>IFERROR(VLOOKUP(D111,Source_Grades!$A:$Z,25,FALSE())*20,0)</f>
        <v>80</v>
      </c>
      <c r="Q111" s="55">
        <f t="shared" si="0"/>
        <v>100.74074074074073</v>
      </c>
      <c r="R111" s="55">
        <f t="shared" si="1"/>
        <v>66.666666666666657</v>
      </c>
      <c r="S111" s="55">
        <f t="shared" si="2"/>
        <v>0</v>
      </c>
      <c r="T111" s="56">
        <f t="shared" si="3"/>
        <v>40.148148148148145</v>
      </c>
      <c r="U111" s="57" t="str">
        <f t="shared" si="4"/>
        <v>نعم</v>
      </c>
      <c r="V111" s="58" t="str">
        <f t="shared" si="5"/>
        <v>لم ينجح</v>
      </c>
    </row>
    <row r="112" spans="1:22" ht="15.7" customHeight="1" thickBot="1" x14ac:dyDescent="0.45">
      <c r="A112" s="87" t="s">
        <v>640</v>
      </c>
      <c r="B112" s="13">
        <v>1</v>
      </c>
      <c r="C112" s="14" t="s">
        <v>643</v>
      </c>
      <c r="D112" s="13" t="s">
        <v>645</v>
      </c>
      <c r="E112" s="13" t="s">
        <v>614</v>
      </c>
      <c r="F112" s="13" t="s">
        <v>83</v>
      </c>
      <c r="G112" s="13" t="s">
        <v>1111</v>
      </c>
      <c r="H112" s="13" t="s">
        <v>1109</v>
      </c>
      <c r="I112" s="86" t="s">
        <v>1010</v>
      </c>
      <c r="J112" s="16">
        <v>0</v>
      </c>
      <c r="K112" s="90">
        <f>IFERROR(_xlfn.XLOOKUP(D112, Project_Scores!$D:$D, Project_Scores!$F:$F, 0), 0)</f>
        <v>0</v>
      </c>
      <c r="L112" s="90">
        <f>IFERROR(_xlfn.XLOOKUP(D112, Project_Scores!$D:$D, Project_Scores!$G:$G, 0), 0)</f>
        <v>0</v>
      </c>
      <c r="M112" s="71">
        <f t="shared" si="7"/>
        <v>0</v>
      </c>
      <c r="N112" s="22">
        <f>IFERROR(VLOOKUP(D112,Source_Grades!$A:$N,13,FALSE()),0)</f>
        <v>134.5</v>
      </c>
      <c r="O112" s="23">
        <f>IFERROR(VLOOKUP(D112,Source_Grades!$A:$V,22,FALSE())*100,0)</f>
        <v>83.333333333333343</v>
      </c>
      <c r="P112" s="27">
        <f>IFERROR(VLOOKUP(D112,Source_Grades!$A:$Z,25,FALSE())*20,0)</f>
        <v>100</v>
      </c>
      <c r="Q112" s="27">
        <f t="shared" si="0"/>
        <v>99.629629629629633</v>
      </c>
      <c r="R112" s="27">
        <f t="shared" si="1"/>
        <v>83.333333333333343</v>
      </c>
      <c r="S112" s="27">
        <f t="shared" si="2"/>
        <v>0</v>
      </c>
      <c r="T112" s="34">
        <f t="shared" si="3"/>
        <v>44.925925925925931</v>
      </c>
      <c r="U112" s="36" t="str">
        <f t="shared" si="4"/>
        <v>نعم</v>
      </c>
      <c r="V112" s="37" t="str">
        <f t="shared" si="5"/>
        <v>لم ينجح</v>
      </c>
    </row>
    <row r="113" spans="1:22" ht="15.7" customHeight="1" thickBot="1" x14ac:dyDescent="0.45">
      <c r="A113" s="78"/>
      <c r="B113" s="38">
        <v>2</v>
      </c>
      <c r="C113" s="39" t="s">
        <v>648</v>
      </c>
      <c r="D113" s="38" t="s">
        <v>364</v>
      </c>
      <c r="E113" s="38" t="s">
        <v>614</v>
      </c>
      <c r="F113" s="38" t="s">
        <v>83</v>
      </c>
      <c r="G113" s="38" t="s">
        <v>369</v>
      </c>
      <c r="H113" s="38" t="s">
        <v>367</v>
      </c>
      <c r="I113" s="75"/>
      <c r="J113" s="42">
        <v>0</v>
      </c>
      <c r="K113" s="75"/>
      <c r="L113" s="75"/>
      <c r="M113" s="71">
        <f t="shared" si="7"/>
        <v>0</v>
      </c>
      <c r="N113" s="44">
        <f>IFERROR(VLOOKUP(D113,Source_Grades!$A:$N,13,FALSE()),0)</f>
        <v>94</v>
      </c>
      <c r="O113" s="45">
        <f>IFERROR(VLOOKUP(D113,Source_Grades!$A:$V,22,FALSE())*100,0)</f>
        <v>83.333333333333343</v>
      </c>
      <c r="P113" s="46">
        <f>IFERROR(VLOOKUP(D113,Source_Grades!$A:$Z,25,FALSE())*20,0)</f>
        <v>100</v>
      </c>
      <c r="Q113" s="46">
        <f t="shared" si="0"/>
        <v>69.629629629629633</v>
      </c>
      <c r="R113" s="46">
        <f t="shared" si="1"/>
        <v>83.333333333333343</v>
      </c>
      <c r="S113" s="46">
        <f t="shared" si="2"/>
        <v>0</v>
      </c>
      <c r="T113" s="47">
        <f t="shared" si="3"/>
        <v>38.925925925925931</v>
      </c>
      <c r="U113" s="48" t="str">
        <f t="shared" si="4"/>
        <v>نعم</v>
      </c>
      <c r="V113" s="49" t="str">
        <f t="shared" si="5"/>
        <v>لم ينجح</v>
      </c>
    </row>
    <row r="114" spans="1:22" ht="15.7" customHeight="1" thickBot="1" x14ac:dyDescent="0.45">
      <c r="A114" s="78"/>
      <c r="B114" s="38">
        <v>3</v>
      </c>
      <c r="C114" s="39" t="s">
        <v>654</v>
      </c>
      <c r="D114" s="38" t="s">
        <v>655</v>
      </c>
      <c r="E114" s="38" t="s">
        <v>614</v>
      </c>
      <c r="F114" s="38" t="s">
        <v>83</v>
      </c>
      <c r="G114" s="38" t="s">
        <v>989</v>
      </c>
      <c r="H114" s="38" t="s">
        <v>987</v>
      </c>
      <c r="I114" s="75"/>
      <c r="J114" s="42">
        <v>0</v>
      </c>
      <c r="K114" s="75"/>
      <c r="L114" s="75"/>
      <c r="M114" s="71">
        <f t="shared" si="7"/>
        <v>0</v>
      </c>
      <c r="N114" s="44">
        <f>IFERROR(VLOOKUP(D114,Source_Grades!$A:$N,13,FALSE()),0)</f>
        <v>137</v>
      </c>
      <c r="O114" s="45">
        <f>IFERROR(VLOOKUP(D114,Source_Grades!$A:$V,22,FALSE())*100,0)</f>
        <v>83.333333333333343</v>
      </c>
      <c r="P114" s="46">
        <f>IFERROR(VLOOKUP(D114,Source_Grades!$A:$Z,25,FALSE())*20,0)</f>
        <v>100</v>
      </c>
      <c r="Q114" s="46">
        <f t="shared" si="0"/>
        <v>101.48148148148148</v>
      </c>
      <c r="R114" s="46">
        <f t="shared" si="1"/>
        <v>83.333333333333343</v>
      </c>
      <c r="S114" s="46">
        <f t="shared" si="2"/>
        <v>0</v>
      </c>
      <c r="T114" s="47">
        <f t="shared" si="3"/>
        <v>45.296296296296305</v>
      </c>
      <c r="U114" s="48" t="str">
        <f t="shared" si="4"/>
        <v>نعم</v>
      </c>
      <c r="V114" s="49" t="str">
        <f t="shared" si="5"/>
        <v>لم ينجح</v>
      </c>
    </row>
    <row r="115" spans="1:22" ht="15.7" customHeight="1" thickBot="1" x14ac:dyDescent="0.45">
      <c r="A115" s="78"/>
      <c r="B115" s="38">
        <v>4</v>
      </c>
      <c r="C115" s="39" t="s">
        <v>661</v>
      </c>
      <c r="D115" s="38" t="s">
        <v>662</v>
      </c>
      <c r="E115" s="38" t="s">
        <v>81</v>
      </c>
      <c r="F115" s="38" t="s">
        <v>83</v>
      </c>
      <c r="G115" s="38" t="s">
        <v>817</v>
      </c>
      <c r="H115" s="38" t="s">
        <v>815</v>
      </c>
      <c r="I115" s="75"/>
      <c r="J115" s="42">
        <v>0</v>
      </c>
      <c r="K115" s="75"/>
      <c r="L115" s="75"/>
      <c r="M115" s="71">
        <f t="shared" si="7"/>
        <v>0</v>
      </c>
      <c r="N115" s="44">
        <f>IFERROR(VLOOKUP(D115,Source_Grades!$A:$N,13,FALSE()),0)</f>
        <v>109</v>
      </c>
      <c r="O115" s="45">
        <f>IFERROR(VLOOKUP(D115,Source_Grades!$A:$V,22,FALSE())*100,0)</f>
        <v>66.666666666666657</v>
      </c>
      <c r="P115" s="46">
        <f>IFERROR(VLOOKUP(D115,Source_Grades!$A:$Z,25,FALSE())*20,0)</f>
        <v>80</v>
      </c>
      <c r="Q115" s="46">
        <f t="shared" si="0"/>
        <v>80.740740740740748</v>
      </c>
      <c r="R115" s="46">
        <f t="shared" si="1"/>
        <v>66.666666666666657</v>
      </c>
      <c r="S115" s="46">
        <f t="shared" si="2"/>
        <v>0</v>
      </c>
      <c r="T115" s="47">
        <f t="shared" si="3"/>
        <v>36.148148148148145</v>
      </c>
      <c r="U115" s="48" t="str">
        <f t="shared" si="4"/>
        <v>نعم</v>
      </c>
      <c r="V115" s="49" t="str">
        <f t="shared" si="5"/>
        <v>لم ينجح</v>
      </c>
    </row>
    <row r="116" spans="1:22" ht="15.7" customHeight="1" thickBot="1" x14ac:dyDescent="0.45">
      <c r="A116" s="88"/>
      <c r="B116" s="50">
        <v>5</v>
      </c>
      <c r="C116" s="51" t="s">
        <v>663</v>
      </c>
      <c r="D116" s="50" t="s">
        <v>664</v>
      </c>
      <c r="E116" s="50" t="s">
        <v>614</v>
      </c>
      <c r="F116" s="50" t="s">
        <v>83</v>
      </c>
      <c r="G116" s="50" t="s">
        <v>1396</v>
      </c>
      <c r="H116" s="50" t="s">
        <v>1343</v>
      </c>
      <c r="I116" s="85"/>
      <c r="J116" s="52">
        <v>0</v>
      </c>
      <c r="K116" s="76"/>
      <c r="L116" s="76"/>
      <c r="M116" s="71">
        <f t="shared" si="7"/>
        <v>0</v>
      </c>
      <c r="N116" s="53">
        <f>IFERROR(VLOOKUP(D116,Source_Grades!$A:$N,13,FALSE()),0)</f>
        <v>80</v>
      </c>
      <c r="O116" s="54">
        <f>IFERROR(VLOOKUP(D116,Source_Grades!$A:$V,22,FALSE())*100,0)</f>
        <v>66.666666666666657</v>
      </c>
      <c r="P116" s="55">
        <f>IFERROR(VLOOKUP(D116,Source_Grades!$A:$Z,25,FALSE())*20,0)</f>
        <v>80</v>
      </c>
      <c r="Q116" s="55">
        <f t="shared" si="0"/>
        <v>59.259259259259252</v>
      </c>
      <c r="R116" s="55">
        <f t="shared" si="1"/>
        <v>66.666666666666657</v>
      </c>
      <c r="S116" s="55">
        <f t="shared" si="2"/>
        <v>0</v>
      </c>
      <c r="T116" s="56">
        <f t="shared" si="3"/>
        <v>31.851851851851848</v>
      </c>
      <c r="U116" s="57" t="str">
        <f t="shared" si="4"/>
        <v>نعم</v>
      </c>
      <c r="V116" s="58" t="str">
        <f t="shared" si="5"/>
        <v>لم ينجح</v>
      </c>
    </row>
    <row r="117" spans="1:22" ht="15.7" customHeight="1" thickBot="1" x14ac:dyDescent="0.45">
      <c r="A117" s="89" t="s">
        <v>670</v>
      </c>
      <c r="B117" s="59">
        <v>1</v>
      </c>
      <c r="C117" s="60" t="s">
        <v>657</v>
      </c>
      <c r="D117" s="59" t="s">
        <v>656</v>
      </c>
      <c r="E117" s="59" t="s">
        <v>437</v>
      </c>
      <c r="F117" s="59" t="s">
        <v>969</v>
      </c>
      <c r="G117" s="59" t="s">
        <v>660</v>
      </c>
      <c r="H117" s="59" t="s">
        <v>658</v>
      </c>
      <c r="I117" s="84" t="s">
        <v>1397</v>
      </c>
      <c r="J117" s="16">
        <v>0</v>
      </c>
      <c r="K117" s="90">
        <f>IFERROR(_xlfn.XLOOKUP(D117, Project_Scores!$D:$D, Project_Scores!$F:$F, 0), 0)</f>
        <v>0</v>
      </c>
      <c r="L117" s="90">
        <f>IFERROR(_xlfn.XLOOKUP(D117, Project_Scores!$D:$D, Project_Scores!$G:$G, 0), 0)</f>
        <v>0</v>
      </c>
      <c r="M117" s="71">
        <f t="shared" si="7"/>
        <v>0</v>
      </c>
      <c r="N117" s="22">
        <f>IFERROR(VLOOKUP(D117,Source_Grades!$A:$N,13,FALSE()),0)</f>
        <v>141</v>
      </c>
      <c r="O117" s="23">
        <f>IFERROR(VLOOKUP(D117,Source_Grades!$A:$V,22,FALSE())*100,0)</f>
        <v>66.666666666666657</v>
      </c>
      <c r="P117" s="27">
        <f>IFERROR(VLOOKUP(D117,Source_Grades!$A:$Z,25,FALSE())*20,0)</f>
        <v>80</v>
      </c>
      <c r="Q117" s="27">
        <f t="shared" si="0"/>
        <v>104.44444444444446</v>
      </c>
      <c r="R117" s="27">
        <f t="shared" si="1"/>
        <v>66.666666666666657</v>
      </c>
      <c r="S117" s="27">
        <f t="shared" si="2"/>
        <v>0</v>
      </c>
      <c r="T117" s="34">
        <f t="shared" si="3"/>
        <v>40.888888888888886</v>
      </c>
      <c r="U117" s="36" t="str">
        <f t="shared" si="4"/>
        <v>نعم</v>
      </c>
      <c r="V117" s="37" t="str">
        <f t="shared" si="5"/>
        <v>لم ينجح</v>
      </c>
    </row>
    <row r="118" spans="1:22" ht="15.7" customHeight="1" thickBot="1" x14ac:dyDescent="0.45">
      <c r="A118" s="78"/>
      <c r="B118" s="61">
        <v>2</v>
      </c>
      <c r="C118" s="62" t="s">
        <v>600</v>
      </c>
      <c r="D118" s="61" t="s">
        <v>599</v>
      </c>
      <c r="E118" s="61" t="s">
        <v>437</v>
      </c>
      <c r="F118" s="61" t="s">
        <v>969</v>
      </c>
      <c r="G118" s="61" t="s">
        <v>1398</v>
      </c>
      <c r="H118" s="61" t="s">
        <v>601</v>
      </c>
      <c r="I118" s="75"/>
      <c r="J118" s="42">
        <v>0</v>
      </c>
      <c r="K118" s="75"/>
      <c r="L118" s="75"/>
      <c r="M118" s="71">
        <f t="shared" si="7"/>
        <v>0</v>
      </c>
      <c r="N118" s="44">
        <f>IFERROR(VLOOKUP(D118,Source_Grades!$A:$N,13,FALSE()),0)</f>
        <v>128.5</v>
      </c>
      <c r="O118" s="45">
        <f>IFERROR(VLOOKUP(D118,Source_Grades!$A:$V,22,FALSE())*100,0)</f>
        <v>50</v>
      </c>
      <c r="P118" s="46">
        <f>IFERROR(VLOOKUP(D118,Source_Grades!$A:$Z,25,FALSE())*20,0)</f>
        <v>60</v>
      </c>
      <c r="Q118" s="46">
        <f t="shared" si="0"/>
        <v>95.18518518518519</v>
      </c>
      <c r="R118" s="46">
        <f t="shared" si="1"/>
        <v>50</v>
      </c>
      <c r="S118" s="46">
        <f t="shared" si="2"/>
        <v>0</v>
      </c>
      <c r="T118" s="47">
        <f t="shared" si="3"/>
        <v>34.037037037037038</v>
      </c>
      <c r="U118" s="48" t="str">
        <f t="shared" si="4"/>
        <v>لا</v>
      </c>
      <c r="V118" s="49" t="str">
        <f t="shared" si="5"/>
        <v>لم ينجح</v>
      </c>
    </row>
    <row r="119" spans="1:22" ht="15.7" customHeight="1" thickBot="1" x14ac:dyDescent="0.45">
      <c r="A119" s="78"/>
      <c r="B119" s="61">
        <v>3</v>
      </c>
      <c r="C119" s="62" t="s">
        <v>675</v>
      </c>
      <c r="D119" s="61" t="s">
        <v>677</v>
      </c>
      <c r="E119" s="61" t="s">
        <v>437</v>
      </c>
      <c r="F119" s="61" t="s">
        <v>845</v>
      </c>
      <c r="G119" s="61" t="s">
        <v>1005</v>
      </c>
      <c r="H119" s="61" t="s">
        <v>1003</v>
      </c>
      <c r="I119" s="75"/>
      <c r="J119" s="42">
        <v>0</v>
      </c>
      <c r="K119" s="75"/>
      <c r="L119" s="75"/>
      <c r="M119" s="71">
        <f t="shared" si="7"/>
        <v>0</v>
      </c>
      <c r="N119" s="44">
        <f>IFERROR(VLOOKUP(D119,Source_Grades!$A:$N,13,FALSE()),0)</f>
        <v>129.5</v>
      </c>
      <c r="O119" s="45">
        <f>IFERROR(VLOOKUP(D119,Source_Grades!$A:$V,22,FALSE())*100,0)</f>
        <v>83.333333333333343</v>
      </c>
      <c r="P119" s="46">
        <f>IFERROR(VLOOKUP(D119,Source_Grades!$A:$Z,25,FALSE())*20,0)</f>
        <v>100</v>
      </c>
      <c r="Q119" s="46">
        <f t="shared" si="0"/>
        <v>95.925925925925924</v>
      </c>
      <c r="R119" s="46">
        <f t="shared" si="1"/>
        <v>83.333333333333343</v>
      </c>
      <c r="S119" s="46">
        <f t="shared" si="2"/>
        <v>0</v>
      </c>
      <c r="T119" s="47">
        <f t="shared" si="3"/>
        <v>44.18518518518519</v>
      </c>
      <c r="U119" s="48" t="str">
        <f t="shared" si="4"/>
        <v>نعم</v>
      </c>
      <c r="V119" s="49" t="str">
        <f t="shared" si="5"/>
        <v>لم ينجح</v>
      </c>
    </row>
    <row r="120" spans="1:22" ht="15.7" customHeight="1" thickBot="1" x14ac:dyDescent="0.45">
      <c r="A120" s="78"/>
      <c r="B120" s="61">
        <v>4</v>
      </c>
      <c r="C120" s="62" t="s">
        <v>680</v>
      </c>
      <c r="D120" s="61" t="s">
        <v>681</v>
      </c>
      <c r="E120" s="61" t="s">
        <v>614</v>
      </c>
      <c r="F120" s="61" t="s">
        <v>83</v>
      </c>
      <c r="G120" s="61" t="s">
        <v>1399</v>
      </c>
      <c r="H120" s="61" t="s">
        <v>1382</v>
      </c>
      <c r="I120" s="75"/>
      <c r="J120" s="42">
        <v>0</v>
      </c>
      <c r="K120" s="75"/>
      <c r="L120" s="75"/>
      <c r="M120" s="71">
        <f t="shared" si="7"/>
        <v>0</v>
      </c>
      <c r="N120" s="44">
        <f>IFERROR(VLOOKUP(D120,Source_Grades!$A:$N,13,FALSE()),0)</f>
        <v>83</v>
      </c>
      <c r="O120" s="45">
        <f>IFERROR(VLOOKUP(D120,Source_Grades!$A:$V,22,FALSE())*100,0)</f>
        <v>66.666666666666657</v>
      </c>
      <c r="P120" s="46">
        <f>IFERROR(VLOOKUP(D120,Source_Grades!$A:$Z,25,FALSE())*20,0)</f>
        <v>80</v>
      </c>
      <c r="Q120" s="46">
        <f t="shared" si="0"/>
        <v>61.481481481481481</v>
      </c>
      <c r="R120" s="46">
        <f t="shared" si="1"/>
        <v>66.666666666666657</v>
      </c>
      <c r="S120" s="46">
        <f t="shared" si="2"/>
        <v>0</v>
      </c>
      <c r="T120" s="47">
        <f t="shared" si="3"/>
        <v>32.296296296296291</v>
      </c>
      <c r="U120" s="48" t="str">
        <f t="shared" si="4"/>
        <v>نعم</v>
      </c>
      <c r="V120" s="49" t="str">
        <f t="shared" si="5"/>
        <v>لم ينجح</v>
      </c>
    </row>
    <row r="121" spans="1:22" ht="15.7" customHeight="1" thickBot="1" x14ac:dyDescent="0.45">
      <c r="A121" s="88"/>
      <c r="B121" s="63">
        <v>5</v>
      </c>
      <c r="C121" s="64" t="s">
        <v>685</v>
      </c>
      <c r="D121" s="63" t="s">
        <v>686</v>
      </c>
      <c r="E121" s="63" t="s">
        <v>614</v>
      </c>
      <c r="F121" s="63" t="s">
        <v>83</v>
      </c>
      <c r="G121" s="63" t="s">
        <v>1400</v>
      </c>
      <c r="H121" s="63" t="s">
        <v>913</v>
      </c>
      <c r="I121" s="85"/>
      <c r="J121" s="52">
        <v>0</v>
      </c>
      <c r="K121" s="76"/>
      <c r="L121" s="76"/>
      <c r="M121" s="71">
        <f t="shared" si="7"/>
        <v>0</v>
      </c>
      <c r="N121" s="53">
        <f>IFERROR(VLOOKUP(D121,Source_Grades!$A:$N,13,FALSE()),0)</f>
        <v>110</v>
      </c>
      <c r="O121" s="54">
        <f>IFERROR(VLOOKUP(D121,Source_Grades!$A:$V,22,FALSE())*100,0)</f>
        <v>50</v>
      </c>
      <c r="P121" s="55">
        <f>IFERROR(VLOOKUP(D121,Source_Grades!$A:$Z,25,FALSE())*20,0)</f>
        <v>60</v>
      </c>
      <c r="Q121" s="55">
        <f t="shared" si="0"/>
        <v>81.481481481481481</v>
      </c>
      <c r="R121" s="55">
        <f t="shared" si="1"/>
        <v>50</v>
      </c>
      <c r="S121" s="55">
        <f t="shared" si="2"/>
        <v>0</v>
      </c>
      <c r="T121" s="56">
        <f t="shared" si="3"/>
        <v>31.296296296296298</v>
      </c>
      <c r="U121" s="57" t="str">
        <f t="shared" si="4"/>
        <v>لا</v>
      </c>
      <c r="V121" s="58" t="str">
        <f t="shared" si="5"/>
        <v>لم ينجح</v>
      </c>
    </row>
    <row r="122" spans="1:22" ht="15.7" customHeight="1" thickBot="1" x14ac:dyDescent="0.45">
      <c r="A122" s="87" t="s">
        <v>690</v>
      </c>
      <c r="B122" s="13">
        <v>1</v>
      </c>
      <c r="C122" s="14" t="s">
        <v>460</v>
      </c>
      <c r="D122" s="13" t="s">
        <v>459</v>
      </c>
      <c r="E122" s="13" t="s">
        <v>437</v>
      </c>
      <c r="F122" s="13" t="s">
        <v>845</v>
      </c>
      <c r="G122" s="13" t="s">
        <v>464</v>
      </c>
      <c r="H122" s="13" t="s">
        <v>461</v>
      </c>
      <c r="I122" s="86" t="s">
        <v>307</v>
      </c>
      <c r="J122" s="16">
        <v>0</v>
      </c>
      <c r="K122" s="90">
        <f>IFERROR(_xlfn.XLOOKUP(D122, Project_Scores!$D:$D, Project_Scores!$F:$F, 0), 0)</f>
        <v>0</v>
      </c>
      <c r="L122" s="90">
        <f>IFERROR(_xlfn.XLOOKUP(D122, Project_Scores!$D:$D, Project_Scores!$G:$G, 0), 0)</f>
        <v>0</v>
      </c>
      <c r="M122" s="71">
        <f t="shared" si="7"/>
        <v>0</v>
      </c>
      <c r="N122" s="22">
        <f>IFERROR(VLOOKUP(D122,Source_Grades!$A:$N,13,FALSE()),0)</f>
        <v>85</v>
      </c>
      <c r="O122" s="23">
        <f>IFERROR(VLOOKUP(D122,Source_Grades!$A:$V,22,FALSE())*100,0)</f>
        <v>83.333333333333343</v>
      </c>
      <c r="P122" s="27">
        <f>IFERROR(VLOOKUP(D122,Source_Grades!$A:$Z,25,FALSE())*20,0)</f>
        <v>100</v>
      </c>
      <c r="Q122" s="27">
        <f t="shared" si="0"/>
        <v>62.962962962962962</v>
      </c>
      <c r="R122" s="27">
        <f t="shared" si="1"/>
        <v>83.333333333333343</v>
      </c>
      <c r="S122" s="27">
        <f t="shared" si="2"/>
        <v>0</v>
      </c>
      <c r="T122" s="34">
        <f t="shared" si="3"/>
        <v>37.592592592592595</v>
      </c>
      <c r="U122" s="36" t="str">
        <f t="shared" si="4"/>
        <v>نعم</v>
      </c>
      <c r="V122" s="37" t="str">
        <f t="shared" si="5"/>
        <v>لم ينجح</v>
      </c>
    </row>
    <row r="123" spans="1:22" ht="15.7" customHeight="1" thickBot="1" x14ac:dyDescent="0.45">
      <c r="A123" s="78"/>
      <c r="B123" s="38">
        <v>2</v>
      </c>
      <c r="C123" s="39" t="s">
        <v>695</v>
      </c>
      <c r="D123" s="38" t="s">
        <v>696</v>
      </c>
      <c r="E123" s="38" t="s">
        <v>437</v>
      </c>
      <c r="F123" s="38" t="s">
        <v>845</v>
      </c>
      <c r="G123" s="38" t="s">
        <v>1401</v>
      </c>
      <c r="H123" s="38" t="s">
        <v>855</v>
      </c>
      <c r="I123" s="75"/>
      <c r="J123" s="42">
        <v>0</v>
      </c>
      <c r="K123" s="75"/>
      <c r="L123" s="75"/>
      <c r="M123" s="71">
        <f t="shared" si="7"/>
        <v>0</v>
      </c>
      <c r="N123" s="44">
        <f>IFERROR(VLOOKUP(D123,Source_Grades!$A:$N,13,FALSE()),0)</f>
        <v>110</v>
      </c>
      <c r="O123" s="45">
        <f>IFERROR(VLOOKUP(D123,Source_Grades!$A:$V,22,FALSE())*100,0)</f>
        <v>66.666666666666657</v>
      </c>
      <c r="P123" s="46">
        <f>IFERROR(VLOOKUP(D123,Source_Grades!$A:$Z,25,FALSE())*20,0)</f>
        <v>80</v>
      </c>
      <c r="Q123" s="46">
        <f t="shared" si="0"/>
        <v>81.481481481481481</v>
      </c>
      <c r="R123" s="46">
        <f t="shared" si="1"/>
        <v>66.666666666666657</v>
      </c>
      <c r="S123" s="46">
        <f t="shared" si="2"/>
        <v>0</v>
      </c>
      <c r="T123" s="47">
        <f t="shared" si="3"/>
        <v>36.296296296296291</v>
      </c>
      <c r="U123" s="48" t="str">
        <f t="shared" si="4"/>
        <v>نعم</v>
      </c>
      <c r="V123" s="49" t="str">
        <f t="shared" si="5"/>
        <v>لم ينجح</v>
      </c>
    </row>
    <row r="124" spans="1:22" ht="15.7" customHeight="1" thickBot="1" x14ac:dyDescent="0.45">
      <c r="A124" s="78"/>
      <c r="B124" s="38">
        <v>3</v>
      </c>
      <c r="C124" s="39" t="s">
        <v>702</v>
      </c>
      <c r="D124" s="38" t="s">
        <v>703</v>
      </c>
      <c r="E124" s="38" t="s">
        <v>437</v>
      </c>
      <c r="F124" s="38" t="s">
        <v>845</v>
      </c>
      <c r="G124" s="38" t="s">
        <v>1402</v>
      </c>
      <c r="H124" s="38" t="s">
        <v>938</v>
      </c>
      <c r="I124" s="75"/>
      <c r="J124" s="42">
        <v>0</v>
      </c>
      <c r="K124" s="75"/>
      <c r="L124" s="75"/>
      <c r="M124" s="71">
        <f t="shared" si="7"/>
        <v>0</v>
      </c>
      <c r="N124" s="44">
        <f>IFERROR(VLOOKUP(D124,Source_Grades!$A:$N,13,FALSE()),0)</f>
        <v>76</v>
      </c>
      <c r="O124" s="45">
        <f>IFERROR(VLOOKUP(D124,Source_Grades!$A:$V,22,FALSE())*100,0)</f>
        <v>83.333333333333343</v>
      </c>
      <c r="P124" s="46">
        <f>IFERROR(VLOOKUP(D124,Source_Grades!$A:$Z,25,FALSE())*20,0)</f>
        <v>100</v>
      </c>
      <c r="Q124" s="46">
        <f t="shared" si="0"/>
        <v>56.296296296296298</v>
      </c>
      <c r="R124" s="46">
        <f t="shared" si="1"/>
        <v>83.333333333333343</v>
      </c>
      <c r="S124" s="46">
        <f t="shared" si="2"/>
        <v>0</v>
      </c>
      <c r="T124" s="47">
        <f t="shared" si="3"/>
        <v>36.259259259259267</v>
      </c>
      <c r="U124" s="48" t="str">
        <f t="shared" si="4"/>
        <v>نعم</v>
      </c>
      <c r="V124" s="49" t="str">
        <f t="shared" si="5"/>
        <v>لم ينجح</v>
      </c>
    </row>
    <row r="125" spans="1:22" ht="15.7" customHeight="1" thickBot="1" x14ac:dyDescent="0.45">
      <c r="A125" s="78"/>
      <c r="B125" s="38">
        <v>4</v>
      </c>
      <c r="C125" s="39" t="s">
        <v>704</v>
      </c>
      <c r="D125" s="38" t="s">
        <v>705</v>
      </c>
      <c r="E125" s="38" t="s">
        <v>437</v>
      </c>
      <c r="F125" s="38" t="s">
        <v>845</v>
      </c>
      <c r="G125" s="38" t="s">
        <v>1403</v>
      </c>
      <c r="H125" s="38" t="s">
        <v>966</v>
      </c>
      <c r="I125" s="75"/>
      <c r="J125" s="42">
        <v>0</v>
      </c>
      <c r="K125" s="75"/>
      <c r="L125" s="75"/>
      <c r="M125" s="71">
        <f t="shared" si="7"/>
        <v>0</v>
      </c>
      <c r="N125" s="44">
        <f>IFERROR(VLOOKUP(D125,Source_Grades!$A:$N,13,FALSE()),0)</f>
        <v>134</v>
      </c>
      <c r="O125" s="45">
        <f>IFERROR(VLOOKUP(D125,Source_Grades!$A:$V,22,FALSE())*100,0)</f>
        <v>83.333333333333343</v>
      </c>
      <c r="P125" s="46">
        <f>IFERROR(VLOOKUP(D125,Source_Grades!$A:$Z,25,FALSE())*20,0)</f>
        <v>100</v>
      </c>
      <c r="Q125" s="46">
        <f t="shared" si="0"/>
        <v>99.259259259259252</v>
      </c>
      <c r="R125" s="46">
        <f t="shared" si="1"/>
        <v>83.333333333333343</v>
      </c>
      <c r="S125" s="46">
        <f t="shared" si="2"/>
        <v>0</v>
      </c>
      <c r="T125" s="47">
        <f t="shared" si="3"/>
        <v>44.851851851851855</v>
      </c>
      <c r="U125" s="48" t="str">
        <f t="shared" si="4"/>
        <v>نعم</v>
      </c>
      <c r="V125" s="49" t="str">
        <f t="shared" si="5"/>
        <v>لم ينجح</v>
      </c>
    </row>
    <row r="126" spans="1:22" ht="15.7" customHeight="1" thickBot="1" x14ac:dyDescent="0.45">
      <c r="A126" s="88"/>
      <c r="B126" s="50">
        <v>5</v>
      </c>
      <c r="C126" s="51" t="s">
        <v>710</v>
      </c>
      <c r="D126" s="50" t="s">
        <v>485</v>
      </c>
      <c r="E126" s="50" t="s">
        <v>614</v>
      </c>
      <c r="F126" s="50" t="s">
        <v>83</v>
      </c>
      <c r="G126" s="50" t="s">
        <v>492</v>
      </c>
      <c r="H126" s="50" t="s">
        <v>490</v>
      </c>
      <c r="I126" s="85"/>
      <c r="J126" s="52">
        <v>0</v>
      </c>
      <c r="K126" s="76"/>
      <c r="L126" s="76"/>
      <c r="M126" s="71">
        <f t="shared" si="7"/>
        <v>0</v>
      </c>
      <c r="N126" s="53">
        <f>IFERROR(VLOOKUP(D126,Source_Grades!$A:$N,13,FALSE()),0)</f>
        <v>97</v>
      </c>
      <c r="O126" s="54">
        <f>IFERROR(VLOOKUP(D126,Source_Grades!$A:$V,22,FALSE())*100,0)</f>
        <v>66.666666666666657</v>
      </c>
      <c r="P126" s="55">
        <f>IFERROR(VLOOKUP(D126,Source_Grades!$A:$Z,25,FALSE())*20,0)</f>
        <v>80</v>
      </c>
      <c r="Q126" s="55">
        <f t="shared" si="0"/>
        <v>71.851851851851862</v>
      </c>
      <c r="R126" s="55">
        <f t="shared" si="1"/>
        <v>66.666666666666657</v>
      </c>
      <c r="S126" s="55">
        <f t="shared" si="2"/>
        <v>0</v>
      </c>
      <c r="T126" s="56">
        <f t="shared" si="3"/>
        <v>34.370370370370367</v>
      </c>
      <c r="U126" s="57" t="str">
        <f t="shared" si="4"/>
        <v>نعم</v>
      </c>
      <c r="V126" s="58" t="str">
        <f t="shared" si="5"/>
        <v>لم ينجح</v>
      </c>
    </row>
    <row r="127" spans="1:22" ht="15.7" customHeight="1" thickBot="1" x14ac:dyDescent="0.45">
      <c r="A127" s="89" t="s">
        <v>711</v>
      </c>
      <c r="B127" s="59">
        <v>1</v>
      </c>
      <c r="C127" s="60" t="s">
        <v>183</v>
      </c>
      <c r="D127" s="59" t="s">
        <v>182</v>
      </c>
      <c r="E127" s="59" t="s">
        <v>81</v>
      </c>
      <c r="F127" s="59" t="s">
        <v>83</v>
      </c>
      <c r="G127" s="59" t="s">
        <v>189</v>
      </c>
      <c r="H127" s="59" t="s">
        <v>187</v>
      </c>
      <c r="I127" s="84" t="s">
        <v>1404</v>
      </c>
      <c r="J127" s="16">
        <v>0</v>
      </c>
      <c r="K127" s="90">
        <f>IFERROR(_xlfn.XLOOKUP(D127, Project_Scores!$D:$D, Project_Scores!$F:$F, 0), 0)</f>
        <v>0</v>
      </c>
      <c r="L127" s="90">
        <f>IFERROR(_xlfn.XLOOKUP(D127, Project_Scores!$D:$D, Project_Scores!$G:$G, 0), 0)</f>
        <v>0</v>
      </c>
      <c r="M127" s="71">
        <f t="shared" si="7"/>
        <v>0</v>
      </c>
      <c r="N127" s="22">
        <f>IFERROR(VLOOKUP(D127,Source_Grades!$A:$N,13,FALSE()),0)</f>
        <v>121</v>
      </c>
      <c r="O127" s="23">
        <f>IFERROR(VLOOKUP(D127,Source_Grades!$A:$V,22,FALSE())*100,0)</f>
        <v>83.333333333333343</v>
      </c>
      <c r="P127" s="27">
        <f>IFERROR(VLOOKUP(D127,Source_Grades!$A:$Z,25,FALSE())*20,0)</f>
        <v>100</v>
      </c>
      <c r="Q127" s="27">
        <f t="shared" si="0"/>
        <v>89.629629629629619</v>
      </c>
      <c r="R127" s="27">
        <f t="shared" si="1"/>
        <v>83.333333333333343</v>
      </c>
      <c r="S127" s="27">
        <f t="shared" si="2"/>
        <v>0</v>
      </c>
      <c r="T127" s="34">
        <f t="shared" si="3"/>
        <v>42.925925925925924</v>
      </c>
      <c r="U127" s="36" t="str">
        <f t="shared" si="4"/>
        <v>نعم</v>
      </c>
      <c r="V127" s="37" t="str">
        <f t="shared" si="5"/>
        <v>لم ينجح</v>
      </c>
    </row>
    <row r="128" spans="1:22" ht="15.7" customHeight="1" thickBot="1" x14ac:dyDescent="0.45">
      <c r="A128" s="78"/>
      <c r="B128" s="61">
        <v>2</v>
      </c>
      <c r="C128" s="62" t="s">
        <v>718</v>
      </c>
      <c r="D128" s="61" t="s">
        <v>519</v>
      </c>
      <c r="E128" s="61" t="s">
        <v>81</v>
      </c>
      <c r="F128" s="61" t="s">
        <v>83</v>
      </c>
      <c r="G128" s="61" t="s">
        <v>526</v>
      </c>
      <c r="H128" s="61" t="s">
        <v>523</v>
      </c>
      <c r="I128" s="75"/>
      <c r="J128" s="42">
        <v>0</v>
      </c>
      <c r="K128" s="75"/>
      <c r="L128" s="75"/>
      <c r="M128" s="71">
        <f t="shared" si="7"/>
        <v>0</v>
      </c>
      <c r="N128" s="44">
        <f>IFERROR(VLOOKUP(D128,Source_Grades!$A:$N,13,FALSE()),0)</f>
        <v>107</v>
      </c>
      <c r="O128" s="45">
        <f>IFERROR(VLOOKUP(D128,Source_Grades!$A:$V,22,FALSE())*100,0)</f>
        <v>83.333333333333343</v>
      </c>
      <c r="P128" s="46">
        <f>IFERROR(VLOOKUP(D128,Source_Grades!$A:$Z,25,FALSE())*20,0)</f>
        <v>100</v>
      </c>
      <c r="Q128" s="46">
        <f t="shared" si="0"/>
        <v>79.259259259259267</v>
      </c>
      <c r="R128" s="46">
        <f t="shared" si="1"/>
        <v>83.333333333333343</v>
      </c>
      <c r="S128" s="46">
        <f t="shared" si="2"/>
        <v>0</v>
      </c>
      <c r="T128" s="47">
        <f t="shared" si="3"/>
        <v>40.851851851851862</v>
      </c>
      <c r="U128" s="48" t="str">
        <f t="shared" si="4"/>
        <v>نعم</v>
      </c>
      <c r="V128" s="49" t="str">
        <f t="shared" si="5"/>
        <v>لم ينجح</v>
      </c>
    </row>
    <row r="129" spans="1:22" ht="15.7" customHeight="1" thickBot="1" x14ac:dyDescent="0.45">
      <c r="A129" s="78"/>
      <c r="B129" s="61">
        <v>3</v>
      </c>
      <c r="C129" s="62" t="s">
        <v>723</v>
      </c>
      <c r="D129" s="61" t="s">
        <v>725</v>
      </c>
      <c r="E129" s="61" t="s">
        <v>81</v>
      </c>
      <c r="F129" s="61" t="s">
        <v>83</v>
      </c>
      <c r="G129" s="61" t="s">
        <v>732</v>
      </c>
      <c r="H129" s="61" t="s">
        <v>730</v>
      </c>
      <c r="I129" s="75"/>
      <c r="J129" s="42">
        <v>0</v>
      </c>
      <c r="K129" s="75"/>
      <c r="L129" s="75"/>
      <c r="M129" s="71">
        <f t="shared" si="7"/>
        <v>0</v>
      </c>
      <c r="N129" s="44">
        <f>IFERROR(VLOOKUP(D129,Source_Grades!$A:$N,13,FALSE()),0)</f>
        <v>102</v>
      </c>
      <c r="O129" s="45">
        <f>IFERROR(VLOOKUP(D129,Source_Grades!$A:$V,22,FALSE())*100,0)</f>
        <v>83.333333333333343</v>
      </c>
      <c r="P129" s="46">
        <f>IFERROR(VLOOKUP(D129,Source_Grades!$A:$Z,25,FALSE())*20,0)</f>
        <v>100</v>
      </c>
      <c r="Q129" s="46">
        <f t="shared" si="0"/>
        <v>75.555555555555557</v>
      </c>
      <c r="R129" s="46">
        <f t="shared" si="1"/>
        <v>83.333333333333343</v>
      </c>
      <c r="S129" s="46">
        <f t="shared" si="2"/>
        <v>0</v>
      </c>
      <c r="T129" s="47">
        <f t="shared" si="3"/>
        <v>40.111111111111114</v>
      </c>
      <c r="U129" s="48" t="str">
        <f t="shared" si="4"/>
        <v>نعم</v>
      </c>
      <c r="V129" s="49" t="str">
        <f t="shared" si="5"/>
        <v>لم ينجح</v>
      </c>
    </row>
    <row r="130" spans="1:22" ht="15.7" customHeight="1" thickBot="1" x14ac:dyDescent="0.45">
      <c r="A130" s="78"/>
      <c r="B130" s="61">
        <v>4</v>
      </c>
      <c r="C130" s="62" t="s">
        <v>726</v>
      </c>
      <c r="D130" s="61" t="s">
        <v>727</v>
      </c>
      <c r="E130" s="61" t="s">
        <v>81</v>
      </c>
      <c r="F130" s="61" t="s">
        <v>83</v>
      </c>
      <c r="G130" s="61" t="s">
        <v>1360</v>
      </c>
      <c r="H130" s="61" t="s">
        <v>1358</v>
      </c>
      <c r="I130" s="75"/>
      <c r="J130" s="42">
        <v>0</v>
      </c>
      <c r="K130" s="75"/>
      <c r="L130" s="75"/>
      <c r="M130" s="71">
        <f t="shared" si="7"/>
        <v>0</v>
      </c>
      <c r="N130" s="44">
        <f>IFERROR(VLOOKUP(D130,Source_Grades!$A:$N,13,FALSE()),0)</f>
        <v>112</v>
      </c>
      <c r="O130" s="45">
        <f>IFERROR(VLOOKUP(D130,Source_Grades!$A:$V,22,FALSE())*100,0)</f>
        <v>83.333333333333343</v>
      </c>
      <c r="P130" s="46">
        <f>IFERROR(VLOOKUP(D130,Source_Grades!$A:$Z,25,FALSE())*20,0)</f>
        <v>100</v>
      </c>
      <c r="Q130" s="46">
        <f t="shared" si="0"/>
        <v>82.962962962962962</v>
      </c>
      <c r="R130" s="46">
        <f t="shared" si="1"/>
        <v>83.333333333333343</v>
      </c>
      <c r="S130" s="46">
        <f t="shared" si="2"/>
        <v>0</v>
      </c>
      <c r="T130" s="47">
        <f t="shared" si="3"/>
        <v>41.592592592592595</v>
      </c>
      <c r="U130" s="48" t="str">
        <f t="shared" si="4"/>
        <v>نعم</v>
      </c>
      <c r="V130" s="49" t="str">
        <f t="shared" si="5"/>
        <v>لم ينجح</v>
      </c>
    </row>
    <row r="131" spans="1:22" ht="15.7" customHeight="1" thickBot="1" x14ac:dyDescent="0.45">
      <c r="A131" s="88"/>
      <c r="B131" s="63">
        <v>5</v>
      </c>
      <c r="C131" s="64" t="s">
        <v>729</v>
      </c>
      <c r="D131" s="63" t="s">
        <v>467</v>
      </c>
      <c r="E131" s="63" t="s">
        <v>437</v>
      </c>
      <c r="F131" s="63" t="s">
        <v>845</v>
      </c>
      <c r="G131" s="63" t="s">
        <v>471</v>
      </c>
      <c r="H131" s="63" t="s">
        <v>469</v>
      </c>
      <c r="I131" s="85"/>
      <c r="J131" s="52">
        <v>0</v>
      </c>
      <c r="K131" s="76"/>
      <c r="L131" s="76"/>
      <c r="M131" s="71">
        <f t="shared" ref="M131:M164" si="8">SUM(J131,K131,L131)</f>
        <v>0</v>
      </c>
      <c r="N131" s="53">
        <f>IFERROR(VLOOKUP(D131,Source_Grades!$A:$N,13,FALSE()),0)</f>
        <v>85</v>
      </c>
      <c r="O131" s="54">
        <f>IFERROR(VLOOKUP(D131,Source_Grades!$A:$V,22,FALSE())*100,0)</f>
        <v>66.666666666666657</v>
      </c>
      <c r="P131" s="55">
        <f>IFERROR(VLOOKUP(D131,Source_Grades!$A:$Z,25,FALSE())*20,0)</f>
        <v>80</v>
      </c>
      <c r="Q131" s="55">
        <f t="shared" si="0"/>
        <v>62.962962962962962</v>
      </c>
      <c r="R131" s="55">
        <f t="shared" si="1"/>
        <v>66.666666666666657</v>
      </c>
      <c r="S131" s="55">
        <f t="shared" si="2"/>
        <v>0</v>
      </c>
      <c r="T131" s="56">
        <f t="shared" si="3"/>
        <v>32.592592592592588</v>
      </c>
      <c r="U131" s="57" t="str">
        <f t="shared" si="4"/>
        <v>نعم</v>
      </c>
      <c r="V131" s="58" t="str">
        <f t="shared" si="5"/>
        <v>لم ينجح</v>
      </c>
    </row>
    <row r="132" spans="1:22" ht="15.7" customHeight="1" thickBot="1" x14ac:dyDescent="0.45">
      <c r="A132" s="87" t="s">
        <v>733</v>
      </c>
      <c r="B132" s="13">
        <v>1</v>
      </c>
      <c r="C132" s="14" t="s">
        <v>734</v>
      </c>
      <c r="D132" s="13" t="s">
        <v>191</v>
      </c>
      <c r="E132" s="13" t="s">
        <v>614</v>
      </c>
      <c r="F132" s="13" t="s">
        <v>83</v>
      </c>
      <c r="G132" s="13" t="s">
        <v>198</v>
      </c>
      <c r="H132" s="13" t="s">
        <v>196</v>
      </c>
      <c r="I132" s="86" t="s">
        <v>392</v>
      </c>
      <c r="J132" s="16">
        <v>0</v>
      </c>
      <c r="K132" s="90">
        <f>IFERROR(_xlfn.XLOOKUP(D132, Project_Scores!$D:$D, Project_Scores!$F:$F, 0), 0)</f>
        <v>0</v>
      </c>
      <c r="L132" s="90">
        <f>IFERROR(_xlfn.XLOOKUP(D132, Project_Scores!$D:$D, Project_Scores!$G:$G, 0), 0)</f>
        <v>0</v>
      </c>
      <c r="M132" s="71">
        <f t="shared" si="8"/>
        <v>0</v>
      </c>
      <c r="N132" s="22">
        <f>IFERROR(VLOOKUP(D132,Source_Grades!$A:$N,13,FALSE()),0)</f>
        <v>100</v>
      </c>
      <c r="O132" s="23">
        <f>IFERROR(VLOOKUP(D132,Source_Grades!$A:$V,22,FALSE())*100,0)</f>
        <v>83.333333333333343</v>
      </c>
      <c r="P132" s="27">
        <f>IFERROR(VLOOKUP(D132,Source_Grades!$A:$Z,25,FALSE())*20,0)</f>
        <v>100</v>
      </c>
      <c r="Q132" s="27">
        <f t="shared" si="0"/>
        <v>74.074074074074076</v>
      </c>
      <c r="R132" s="27">
        <f t="shared" si="1"/>
        <v>83.333333333333343</v>
      </c>
      <c r="S132" s="27">
        <f t="shared" si="2"/>
        <v>0</v>
      </c>
      <c r="T132" s="34">
        <f t="shared" si="3"/>
        <v>39.814814814814824</v>
      </c>
      <c r="U132" s="36" t="str">
        <f t="shared" si="4"/>
        <v>نعم</v>
      </c>
      <c r="V132" s="37" t="str">
        <f t="shared" si="5"/>
        <v>لم ينجح</v>
      </c>
    </row>
    <row r="133" spans="1:22" ht="15.7" customHeight="1" thickBot="1" x14ac:dyDescent="0.45">
      <c r="A133" s="78"/>
      <c r="B133" s="38">
        <v>2</v>
      </c>
      <c r="C133" s="39" t="s">
        <v>737</v>
      </c>
      <c r="D133" s="38" t="s">
        <v>202</v>
      </c>
      <c r="E133" s="38" t="s">
        <v>614</v>
      </c>
      <c r="F133" s="38" t="s">
        <v>83</v>
      </c>
      <c r="G133" s="38" t="s">
        <v>1405</v>
      </c>
      <c r="H133" s="38" t="s">
        <v>205</v>
      </c>
      <c r="I133" s="75"/>
      <c r="J133" s="42">
        <v>0</v>
      </c>
      <c r="K133" s="75"/>
      <c r="L133" s="75"/>
      <c r="M133" s="71">
        <f t="shared" si="8"/>
        <v>0</v>
      </c>
      <c r="N133" s="44">
        <f>IFERROR(VLOOKUP(D133,Source_Grades!$A:$N,13,FALSE()),0)</f>
        <v>114</v>
      </c>
      <c r="O133" s="45">
        <f>IFERROR(VLOOKUP(D133,Source_Grades!$A:$V,22,FALSE())*100,0)</f>
        <v>83.333333333333343</v>
      </c>
      <c r="P133" s="46">
        <f>IFERROR(VLOOKUP(D133,Source_Grades!$A:$Z,25,FALSE())*20,0)</f>
        <v>100</v>
      </c>
      <c r="Q133" s="46">
        <f t="shared" si="0"/>
        <v>84.444444444444443</v>
      </c>
      <c r="R133" s="46">
        <f t="shared" si="1"/>
        <v>83.333333333333343</v>
      </c>
      <c r="S133" s="46">
        <f t="shared" si="2"/>
        <v>0</v>
      </c>
      <c r="T133" s="47">
        <f t="shared" si="3"/>
        <v>41.888888888888893</v>
      </c>
      <c r="U133" s="48" t="str">
        <f t="shared" si="4"/>
        <v>نعم</v>
      </c>
      <c r="V133" s="49" t="str">
        <f t="shared" si="5"/>
        <v>لم ينجح</v>
      </c>
    </row>
    <row r="134" spans="1:22" ht="15.7" customHeight="1" thickBot="1" x14ac:dyDescent="0.45">
      <c r="A134" s="78"/>
      <c r="B134" s="38">
        <v>3</v>
      </c>
      <c r="C134" s="39" t="s">
        <v>738</v>
      </c>
      <c r="D134" s="38" t="s">
        <v>739</v>
      </c>
      <c r="E134" s="38" t="s">
        <v>614</v>
      </c>
      <c r="F134" s="38" t="s">
        <v>83</v>
      </c>
      <c r="G134" s="38" t="s">
        <v>1255</v>
      </c>
      <c r="H134" s="38" t="s">
        <v>1406</v>
      </c>
      <c r="I134" s="75"/>
      <c r="J134" s="42">
        <v>0</v>
      </c>
      <c r="K134" s="75"/>
      <c r="L134" s="75"/>
      <c r="M134" s="71">
        <f t="shared" si="8"/>
        <v>0</v>
      </c>
      <c r="N134" s="44">
        <f>IFERROR(VLOOKUP(D134,Source_Grades!$A:$N,13,FALSE()),0)</f>
        <v>30</v>
      </c>
      <c r="O134" s="45">
        <f>IFERROR(VLOOKUP(D134,Source_Grades!$A:$V,22,FALSE())*100,0)</f>
        <v>83.333333333333343</v>
      </c>
      <c r="P134" s="46">
        <f>IFERROR(VLOOKUP(D134,Source_Grades!$A:$Z,25,FALSE())*20,0)</f>
        <v>100</v>
      </c>
      <c r="Q134" s="46">
        <f t="shared" si="0"/>
        <v>22.222222222222221</v>
      </c>
      <c r="R134" s="46">
        <f t="shared" si="1"/>
        <v>83.333333333333343</v>
      </c>
      <c r="S134" s="46">
        <f t="shared" si="2"/>
        <v>0</v>
      </c>
      <c r="T134" s="47">
        <f t="shared" si="3"/>
        <v>29.44444444444445</v>
      </c>
      <c r="U134" s="48" t="str">
        <f t="shared" si="4"/>
        <v>نعم</v>
      </c>
      <c r="V134" s="49" t="str">
        <f t="shared" si="5"/>
        <v>لم ينجح</v>
      </c>
    </row>
    <row r="135" spans="1:22" ht="15.7" customHeight="1" thickBot="1" x14ac:dyDescent="0.45">
      <c r="A135" s="78"/>
      <c r="B135" s="38">
        <v>4</v>
      </c>
      <c r="C135" s="39" t="s">
        <v>398</v>
      </c>
      <c r="D135" s="38" t="s">
        <v>397</v>
      </c>
      <c r="E135" s="38" t="s">
        <v>437</v>
      </c>
      <c r="F135" s="38" t="s">
        <v>83</v>
      </c>
      <c r="G135" s="38" t="s">
        <v>403</v>
      </c>
      <c r="H135" s="38" t="s">
        <v>1407</v>
      </c>
      <c r="I135" s="75"/>
      <c r="J135" s="42">
        <v>0</v>
      </c>
      <c r="K135" s="75"/>
      <c r="L135" s="75"/>
      <c r="M135" s="71">
        <f t="shared" si="8"/>
        <v>0</v>
      </c>
      <c r="N135" s="44">
        <f>IFERROR(VLOOKUP(D135,Source_Grades!$A:$N,13,FALSE()),0)</f>
        <v>95</v>
      </c>
      <c r="O135" s="45">
        <f>IFERROR(VLOOKUP(D135,Source_Grades!$A:$V,22,FALSE())*100,0)</f>
        <v>66.666666666666657</v>
      </c>
      <c r="P135" s="46">
        <f>IFERROR(VLOOKUP(D135,Source_Grades!$A:$Z,25,FALSE())*20,0)</f>
        <v>80</v>
      </c>
      <c r="Q135" s="46">
        <f t="shared" si="0"/>
        <v>70.370370370370367</v>
      </c>
      <c r="R135" s="46">
        <f t="shared" si="1"/>
        <v>66.666666666666657</v>
      </c>
      <c r="S135" s="46">
        <f t="shared" si="2"/>
        <v>0</v>
      </c>
      <c r="T135" s="47">
        <f t="shared" si="3"/>
        <v>34.074074074074069</v>
      </c>
      <c r="U135" s="48" t="str">
        <f t="shared" si="4"/>
        <v>نعم</v>
      </c>
      <c r="V135" s="49" t="str">
        <f t="shared" si="5"/>
        <v>لم ينجح</v>
      </c>
    </row>
    <row r="136" spans="1:22" ht="15.7" customHeight="1" thickBot="1" x14ac:dyDescent="0.45">
      <c r="A136" s="88"/>
      <c r="B136" s="50">
        <v>5</v>
      </c>
      <c r="C136" s="51" t="s">
        <v>742</v>
      </c>
      <c r="D136" s="50" t="s">
        <v>743</v>
      </c>
      <c r="E136" s="50" t="s">
        <v>81</v>
      </c>
      <c r="F136" s="50" t="s">
        <v>374</v>
      </c>
      <c r="G136" s="50" t="s">
        <v>812</v>
      </c>
      <c r="H136" s="50" t="s">
        <v>810</v>
      </c>
      <c r="I136" s="85"/>
      <c r="J136" s="52">
        <v>0</v>
      </c>
      <c r="K136" s="76"/>
      <c r="L136" s="76"/>
      <c r="M136" s="71">
        <f t="shared" si="8"/>
        <v>0</v>
      </c>
      <c r="N136" s="53">
        <f>IFERROR(VLOOKUP(D136,Source_Grades!$A:$N,13,FALSE()),0)</f>
        <v>125</v>
      </c>
      <c r="O136" s="54">
        <f>IFERROR(VLOOKUP(D136,Source_Grades!$A:$V,22,FALSE())*100,0)</f>
        <v>66.666666666666657</v>
      </c>
      <c r="P136" s="55">
        <f>IFERROR(VLOOKUP(D136,Source_Grades!$A:$Z,25,FALSE())*20,0)</f>
        <v>80</v>
      </c>
      <c r="Q136" s="55">
        <f t="shared" si="0"/>
        <v>92.592592592592595</v>
      </c>
      <c r="R136" s="55">
        <f t="shared" si="1"/>
        <v>66.666666666666657</v>
      </c>
      <c r="S136" s="55">
        <f t="shared" si="2"/>
        <v>0</v>
      </c>
      <c r="T136" s="56">
        <f t="shared" si="3"/>
        <v>38.518518518518519</v>
      </c>
      <c r="U136" s="57" t="str">
        <f t="shared" si="4"/>
        <v>نعم</v>
      </c>
      <c r="V136" s="58" t="str">
        <f t="shared" si="5"/>
        <v>لم ينجح</v>
      </c>
    </row>
    <row r="137" spans="1:22" ht="15.7" customHeight="1" thickBot="1" x14ac:dyDescent="0.45">
      <c r="A137" s="89" t="s">
        <v>744</v>
      </c>
      <c r="B137" s="59">
        <v>1</v>
      </c>
      <c r="C137" s="60" t="s">
        <v>745</v>
      </c>
      <c r="D137" s="59" t="s">
        <v>746</v>
      </c>
      <c r="E137" s="59" t="s">
        <v>614</v>
      </c>
      <c r="F137" s="59" t="s">
        <v>1016</v>
      </c>
      <c r="G137" s="59" t="s">
        <v>1353</v>
      </c>
      <c r="H137" s="59" t="s">
        <v>1351</v>
      </c>
      <c r="I137" s="84" t="s">
        <v>1408</v>
      </c>
      <c r="J137" s="16">
        <v>0</v>
      </c>
      <c r="K137" s="90">
        <f>IFERROR(_xlfn.XLOOKUP(D137, Project_Scores!$D:$D, Project_Scores!$F:$F, 0), 0)</f>
        <v>0</v>
      </c>
      <c r="L137" s="90">
        <f>IFERROR(_xlfn.XLOOKUP(D137, Project_Scores!$D:$D, Project_Scores!$G:$G, 0), 0)</f>
        <v>0</v>
      </c>
      <c r="M137" s="71">
        <f t="shared" si="8"/>
        <v>0</v>
      </c>
      <c r="N137" s="22">
        <f>IFERROR(VLOOKUP(D137,Source_Grades!$A:$N,13,FALSE()),0)</f>
        <v>42.5</v>
      </c>
      <c r="O137" s="23">
        <f>IFERROR(VLOOKUP(D137,Source_Grades!$A:$V,22,FALSE())*100,0)</f>
        <v>66.666666666666657</v>
      </c>
      <c r="P137" s="27">
        <f>IFERROR(VLOOKUP(D137,Source_Grades!$A:$Z,25,FALSE())*20,0)</f>
        <v>80</v>
      </c>
      <c r="Q137" s="27">
        <f t="shared" si="0"/>
        <v>31.481481481481481</v>
      </c>
      <c r="R137" s="27">
        <f t="shared" si="1"/>
        <v>66.666666666666657</v>
      </c>
      <c r="S137" s="27">
        <f t="shared" si="2"/>
        <v>0</v>
      </c>
      <c r="T137" s="34">
        <f t="shared" si="3"/>
        <v>26.296296296296294</v>
      </c>
      <c r="U137" s="36" t="str">
        <f t="shared" si="4"/>
        <v>نعم</v>
      </c>
      <c r="V137" s="37" t="str">
        <f t="shared" si="5"/>
        <v>لم ينجح</v>
      </c>
    </row>
    <row r="138" spans="1:22" ht="15.7" customHeight="1" thickBot="1" x14ac:dyDescent="0.45">
      <c r="A138" s="78"/>
      <c r="B138" s="61">
        <v>2</v>
      </c>
      <c r="C138" s="62" t="s">
        <v>747</v>
      </c>
      <c r="D138" s="61" t="s">
        <v>665</v>
      </c>
      <c r="E138" s="61" t="s">
        <v>614</v>
      </c>
      <c r="F138" s="61" t="s">
        <v>1409</v>
      </c>
      <c r="G138" s="61" t="s">
        <v>669</v>
      </c>
      <c r="H138" s="61" t="s">
        <v>667</v>
      </c>
      <c r="I138" s="75"/>
      <c r="J138" s="42">
        <v>0</v>
      </c>
      <c r="K138" s="75"/>
      <c r="L138" s="75"/>
      <c r="M138" s="71">
        <f t="shared" si="8"/>
        <v>0</v>
      </c>
      <c r="N138" s="44">
        <f>IFERROR(VLOOKUP(D138,Source_Grades!$A:$N,13,FALSE()),0)</f>
        <v>45</v>
      </c>
      <c r="O138" s="45">
        <f>IFERROR(VLOOKUP(D138,Source_Grades!$A:$V,22,FALSE())*100,0)</f>
        <v>66.666666666666657</v>
      </c>
      <c r="P138" s="46">
        <f>IFERROR(VLOOKUP(D138,Source_Grades!$A:$Z,25,FALSE())*20,0)</f>
        <v>80</v>
      </c>
      <c r="Q138" s="46">
        <f t="shared" si="0"/>
        <v>33.333333333333329</v>
      </c>
      <c r="R138" s="46">
        <f t="shared" si="1"/>
        <v>66.666666666666657</v>
      </c>
      <c r="S138" s="46">
        <f t="shared" si="2"/>
        <v>0</v>
      </c>
      <c r="T138" s="47">
        <f t="shared" si="3"/>
        <v>26.666666666666664</v>
      </c>
      <c r="U138" s="48" t="str">
        <f t="shared" si="4"/>
        <v>نعم</v>
      </c>
      <c r="V138" s="49" t="str">
        <f t="shared" si="5"/>
        <v>لم ينجح</v>
      </c>
    </row>
    <row r="139" spans="1:22" ht="15.7" customHeight="1" thickBot="1" x14ac:dyDescent="0.45">
      <c r="A139" s="78"/>
      <c r="B139" s="61">
        <v>3</v>
      </c>
      <c r="C139" s="62" t="s">
        <v>750</v>
      </c>
      <c r="D139" s="61" t="s">
        <v>751</v>
      </c>
      <c r="E139" s="61" t="s">
        <v>437</v>
      </c>
      <c r="F139" s="61" t="s">
        <v>1299</v>
      </c>
      <c r="G139" s="61" t="s">
        <v>1208</v>
      </c>
      <c r="H139" s="61" t="s">
        <v>1206</v>
      </c>
      <c r="I139" s="75"/>
      <c r="J139" s="42">
        <v>0</v>
      </c>
      <c r="K139" s="75"/>
      <c r="L139" s="75"/>
      <c r="M139" s="71">
        <f t="shared" si="8"/>
        <v>0</v>
      </c>
      <c r="N139" s="44">
        <f>IFERROR(VLOOKUP(D139,Source_Grades!$A:$N,13,FALSE()),0)</f>
        <v>65</v>
      </c>
      <c r="O139" s="45">
        <f>IFERROR(VLOOKUP(D139,Source_Grades!$A:$V,22,FALSE())*100,0)</f>
        <v>83.333333333333343</v>
      </c>
      <c r="P139" s="46">
        <f>IFERROR(VLOOKUP(D139,Source_Grades!$A:$Z,25,FALSE())*20,0)</f>
        <v>100</v>
      </c>
      <c r="Q139" s="46">
        <f t="shared" si="0"/>
        <v>48.148148148148145</v>
      </c>
      <c r="R139" s="46">
        <f t="shared" si="1"/>
        <v>83.333333333333343</v>
      </c>
      <c r="S139" s="46">
        <f t="shared" si="2"/>
        <v>0</v>
      </c>
      <c r="T139" s="47">
        <f t="shared" si="3"/>
        <v>34.629629629629633</v>
      </c>
      <c r="U139" s="48" t="str">
        <f t="shared" si="4"/>
        <v>نعم</v>
      </c>
      <c r="V139" s="49" t="str">
        <f t="shared" si="5"/>
        <v>لم ينجح</v>
      </c>
    </row>
    <row r="140" spans="1:22" ht="15.7" customHeight="1" thickBot="1" x14ac:dyDescent="0.45">
      <c r="A140" s="78"/>
      <c r="B140" s="61">
        <v>4</v>
      </c>
      <c r="C140" s="62" t="s">
        <v>752</v>
      </c>
      <c r="D140" s="61" t="s">
        <v>753</v>
      </c>
      <c r="E140" s="61" t="s">
        <v>437</v>
      </c>
      <c r="F140" s="61" t="s">
        <v>1299</v>
      </c>
      <c r="G140" s="61" t="s">
        <v>900</v>
      </c>
      <c r="H140" s="61" t="s">
        <v>898</v>
      </c>
      <c r="I140" s="75"/>
      <c r="J140" s="42">
        <v>0</v>
      </c>
      <c r="K140" s="75"/>
      <c r="L140" s="75"/>
      <c r="M140" s="71">
        <f t="shared" si="8"/>
        <v>0</v>
      </c>
      <c r="N140" s="44">
        <f>IFERROR(VLOOKUP(D140,Source_Grades!$A:$N,13,FALSE()),0)</f>
        <v>62</v>
      </c>
      <c r="O140" s="45">
        <f>IFERROR(VLOOKUP(D140,Source_Grades!$A:$V,22,FALSE())*100,0)</f>
        <v>66.666666666666657</v>
      </c>
      <c r="P140" s="46">
        <f>IFERROR(VLOOKUP(D140,Source_Grades!$A:$Z,25,FALSE())*20,0)</f>
        <v>80</v>
      </c>
      <c r="Q140" s="46">
        <f t="shared" si="0"/>
        <v>45.925925925925924</v>
      </c>
      <c r="R140" s="46">
        <f t="shared" si="1"/>
        <v>66.666666666666657</v>
      </c>
      <c r="S140" s="46">
        <f t="shared" si="2"/>
        <v>0</v>
      </c>
      <c r="T140" s="47">
        <f t="shared" si="3"/>
        <v>29.185185185185183</v>
      </c>
      <c r="U140" s="48" t="str">
        <f t="shared" si="4"/>
        <v>نعم</v>
      </c>
      <c r="V140" s="49" t="str">
        <f t="shared" si="5"/>
        <v>لم ينجح</v>
      </c>
    </row>
    <row r="141" spans="1:22" ht="15.7" customHeight="1" thickBot="1" x14ac:dyDescent="0.45">
      <c r="A141" s="88"/>
      <c r="B141" s="63">
        <v>5</v>
      </c>
      <c r="C141" s="64" t="s">
        <v>754</v>
      </c>
      <c r="D141" s="63" t="s">
        <v>755</v>
      </c>
      <c r="E141" s="63" t="s">
        <v>81</v>
      </c>
      <c r="F141" s="63" t="s">
        <v>83</v>
      </c>
      <c r="G141" s="63" t="s">
        <v>1377</v>
      </c>
      <c r="H141" s="63" t="s">
        <v>1375</v>
      </c>
      <c r="I141" s="85"/>
      <c r="J141" s="52">
        <v>0</v>
      </c>
      <c r="K141" s="76"/>
      <c r="L141" s="76"/>
      <c r="M141" s="71">
        <f t="shared" si="8"/>
        <v>0</v>
      </c>
      <c r="N141" s="53">
        <f>IFERROR(VLOOKUP(D141,Source_Grades!$A:$N,13,FALSE()),0)</f>
        <v>85</v>
      </c>
      <c r="O141" s="54">
        <f>IFERROR(VLOOKUP(D141,Source_Grades!$A:$V,22,FALSE())*100,0)</f>
        <v>66.666666666666657</v>
      </c>
      <c r="P141" s="55">
        <f>IFERROR(VLOOKUP(D141,Source_Grades!$A:$Z,25,FALSE())*20,0)</f>
        <v>80</v>
      </c>
      <c r="Q141" s="55">
        <f t="shared" si="0"/>
        <v>62.962962962962962</v>
      </c>
      <c r="R141" s="55">
        <f t="shared" si="1"/>
        <v>66.666666666666657</v>
      </c>
      <c r="S141" s="55">
        <f t="shared" si="2"/>
        <v>0</v>
      </c>
      <c r="T141" s="56">
        <f t="shared" si="3"/>
        <v>32.592592592592588</v>
      </c>
      <c r="U141" s="57" t="str">
        <f t="shared" si="4"/>
        <v>نعم</v>
      </c>
      <c r="V141" s="58" t="str">
        <f t="shared" si="5"/>
        <v>لم ينجح</v>
      </c>
    </row>
    <row r="142" spans="1:22" ht="15.7" customHeight="1" thickBot="1" x14ac:dyDescent="0.45">
      <c r="A142" s="87" t="s">
        <v>756</v>
      </c>
      <c r="B142" s="13">
        <v>1</v>
      </c>
      <c r="C142" s="14" t="s">
        <v>757</v>
      </c>
      <c r="D142" s="13" t="s">
        <v>758</v>
      </c>
      <c r="E142" s="13" t="s">
        <v>614</v>
      </c>
      <c r="F142" s="13" t="s">
        <v>83</v>
      </c>
      <c r="G142" s="13" t="s">
        <v>1030</v>
      </c>
      <c r="H142" s="13" t="s">
        <v>1410</v>
      </c>
      <c r="I142" s="86" t="s">
        <v>1411</v>
      </c>
      <c r="J142" s="16">
        <v>0</v>
      </c>
      <c r="K142" s="90">
        <f>IFERROR(_xlfn.XLOOKUP(D142, Project_Scores!$D:$D, Project_Scores!$F:$F, 0), 0)</f>
        <v>0</v>
      </c>
      <c r="L142" s="90">
        <f>IFERROR(_xlfn.XLOOKUP(D142, Project_Scores!$D:$D, Project_Scores!$G:$G, 0), 0)</f>
        <v>0</v>
      </c>
      <c r="M142" s="71">
        <f t="shared" si="8"/>
        <v>0</v>
      </c>
      <c r="N142" s="22">
        <f>IFERROR(VLOOKUP(D142,Source_Grades!$A:$N,13,FALSE()),0)</f>
        <v>70</v>
      </c>
      <c r="O142" s="23">
        <f>IFERROR(VLOOKUP(D142,Source_Grades!$A:$V,22,FALSE())*100,0)</f>
        <v>66.666666666666657</v>
      </c>
      <c r="P142" s="27">
        <f>IFERROR(VLOOKUP(D142,Source_Grades!$A:$Z,25,FALSE())*20,0)</f>
        <v>80</v>
      </c>
      <c r="Q142" s="27">
        <f t="shared" si="0"/>
        <v>51.851851851851848</v>
      </c>
      <c r="R142" s="27">
        <f t="shared" si="1"/>
        <v>66.666666666666657</v>
      </c>
      <c r="S142" s="27">
        <f t="shared" si="2"/>
        <v>0</v>
      </c>
      <c r="T142" s="34">
        <f t="shared" si="3"/>
        <v>30.370370370370367</v>
      </c>
      <c r="U142" s="36" t="str">
        <f t="shared" si="4"/>
        <v>نعم</v>
      </c>
      <c r="V142" s="37" t="str">
        <f t="shared" si="5"/>
        <v>لم ينجح</v>
      </c>
    </row>
    <row r="143" spans="1:22" ht="15.7" customHeight="1" thickBot="1" x14ac:dyDescent="0.45">
      <c r="A143" s="78"/>
      <c r="B143" s="38">
        <v>2</v>
      </c>
      <c r="C143" s="39" t="s">
        <v>762</v>
      </c>
      <c r="D143" s="38" t="s">
        <v>763</v>
      </c>
      <c r="E143" s="38" t="s">
        <v>614</v>
      </c>
      <c r="F143" s="38" t="s">
        <v>83</v>
      </c>
      <c r="G143" s="38" t="s">
        <v>1271</v>
      </c>
      <c r="H143" s="38" t="s">
        <v>1269</v>
      </c>
      <c r="I143" s="75"/>
      <c r="J143" s="42">
        <v>0</v>
      </c>
      <c r="K143" s="75"/>
      <c r="L143" s="75"/>
      <c r="M143" s="71">
        <f t="shared" si="8"/>
        <v>0</v>
      </c>
      <c r="N143" s="44">
        <f>IFERROR(VLOOKUP(D143,Source_Grades!$A:$N,13,FALSE()),0)</f>
        <v>95</v>
      </c>
      <c r="O143" s="45">
        <f>IFERROR(VLOOKUP(D143,Source_Grades!$A:$V,22,FALSE())*100,0)</f>
        <v>66.666666666666657</v>
      </c>
      <c r="P143" s="46">
        <f>IFERROR(VLOOKUP(D143,Source_Grades!$A:$Z,25,FALSE())*20,0)</f>
        <v>80</v>
      </c>
      <c r="Q143" s="46">
        <f t="shared" si="0"/>
        <v>70.370370370370367</v>
      </c>
      <c r="R143" s="46">
        <f t="shared" si="1"/>
        <v>66.666666666666657</v>
      </c>
      <c r="S143" s="46">
        <f t="shared" si="2"/>
        <v>0</v>
      </c>
      <c r="T143" s="47">
        <f t="shared" si="3"/>
        <v>34.074074074074069</v>
      </c>
      <c r="U143" s="48" t="str">
        <f t="shared" si="4"/>
        <v>نعم</v>
      </c>
      <c r="V143" s="49" t="str">
        <f t="shared" si="5"/>
        <v>لم ينجح</v>
      </c>
    </row>
    <row r="144" spans="1:22" ht="15.7" customHeight="1" thickBot="1" x14ac:dyDescent="0.45">
      <c r="A144" s="78"/>
      <c r="B144" s="38">
        <v>3</v>
      </c>
      <c r="C144" s="39" t="s">
        <v>764</v>
      </c>
      <c r="D144" s="38" t="s">
        <v>224</v>
      </c>
      <c r="E144" s="38" t="s">
        <v>81</v>
      </c>
      <c r="F144" s="38" t="s">
        <v>83</v>
      </c>
      <c r="G144" s="38" t="s">
        <v>232</v>
      </c>
      <c r="H144" s="38" t="s">
        <v>229</v>
      </c>
      <c r="I144" s="75"/>
      <c r="J144" s="42">
        <v>0</v>
      </c>
      <c r="K144" s="75"/>
      <c r="L144" s="75"/>
      <c r="M144" s="71">
        <f t="shared" si="8"/>
        <v>0</v>
      </c>
      <c r="N144" s="44">
        <f>IFERROR(VLOOKUP(D144,Source_Grades!$A:$N,13,FALSE()),0)</f>
        <v>80</v>
      </c>
      <c r="O144" s="45">
        <f>IFERROR(VLOOKUP(D144,Source_Grades!$A:$V,22,FALSE())*100,0)</f>
        <v>83.333333333333343</v>
      </c>
      <c r="P144" s="46">
        <f>IFERROR(VLOOKUP(D144,Source_Grades!$A:$Z,25,FALSE())*20,0)</f>
        <v>100</v>
      </c>
      <c r="Q144" s="46">
        <f t="shared" si="0"/>
        <v>59.259259259259252</v>
      </c>
      <c r="R144" s="46">
        <f t="shared" si="1"/>
        <v>83.333333333333343</v>
      </c>
      <c r="S144" s="46">
        <f t="shared" si="2"/>
        <v>0</v>
      </c>
      <c r="T144" s="47">
        <f t="shared" si="3"/>
        <v>36.851851851851855</v>
      </c>
      <c r="U144" s="48" t="str">
        <f t="shared" si="4"/>
        <v>نعم</v>
      </c>
      <c r="V144" s="49" t="str">
        <f t="shared" si="5"/>
        <v>لم ينجح</v>
      </c>
    </row>
    <row r="145" spans="1:22" ht="15.7" customHeight="1" thickBot="1" x14ac:dyDescent="0.45">
      <c r="A145" s="78"/>
      <c r="B145" s="38">
        <v>4</v>
      </c>
      <c r="C145" s="39" t="s">
        <v>765</v>
      </c>
      <c r="D145" s="38" t="s">
        <v>766</v>
      </c>
      <c r="E145" s="38" t="s">
        <v>81</v>
      </c>
      <c r="F145" s="38" t="s">
        <v>83</v>
      </c>
      <c r="G145" s="38" t="s">
        <v>927</v>
      </c>
      <c r="H145" s="38" t="s">
        <v>925</v>
      </c>
      <c r="I145" s="75"/>
      <c r="J145" s="42">
        <v>0</v>
      </c>
      <c r="K145" s="75"/>
      <c r="L145" s="75"/>
      <c r="M145" s="71">
        <f t="shared" si="8"/>
        <v>0</v>
      </c>
      <c r="N145" s="44">
        <f>IFERROR(VLOOKUP(D145,Source_Grades!$A:$N,13,FALSE()),0)</f>
        <v>84</v>
      </c>
      <c r="O145" s="45">
        <f>IFERROR(VLOOKUP(D145,Source_Grades!$A:$V,22,FALSE())*100,0)</f>
        <v>83.333333333333343</v>
      </c>
      <c r="P145" s="46">
        <f>IFERROR(VLOOKUP(D145,Source_Grades!$A:$Z,25,FALSE())*20,0)</f>
        <v>100</v>
      </c>
      <c r="Q145" s="46">
        <f t="shared" si="0"/>
        <v>62.222222222222221</v>
      </c>
      <c r="R145" s="46">
        <f t="shared" si="1"/>
        <v>83.333333333333343</v>
      </c>
      <c r="S145" s="46">
        <f t="shared" si="2"/>
        <v>0</v>
      </c>
      <c r="T145" s="47">
        <f t="shared" si="3"/>
        <v>37.44444444444445</v>
      </c>
      <c r="U145" s="48" t="str">
        <f t="shared" si="4"/>
        <v>نعم</v>
      </c>
      <c r="V145" s="49" t="str">
        <f t="shared" si="5"/>
        <v>لم ينجح</v>
      </c>
    </row>
    <row r="146" spans="1:22" ht="15.7" customHeight="1" thickBot="1" x14ac:dyDescent="0.45">
      <c r="A146" s="88"/>
      <c r="B146" s="50">
        <v>5</v>
      </c>
      <c r="C146" s="51" t="s">
        <v>767</v>
      </c>
      <c r="D146" s="50" t="s">
        <v>768</v>
      </c>
      <c r="E146" s="50" t="s">
        <v>437</v>
      </c>
      <c r="F146" s="50" t="s">
        <v>1047</v>
      </c>
      <c r="G146" s="50" t="s">
        <v>878</v>
      </c>
      <c r="H146" s="50" t="s">
        <v>876</v>
      </c>
      <c r="I146" s="85"/>
      <c r="J146" s="52">
        <v>0</v>
      </c>
      <c r="K146" s="76"/>
      <c r="L146" s="76"/>
      <c r="M146" s="71">
        <f t="shared" si="8"/>
        <v>0</v>
      </c>
      <c r="N146" s="53">
        <f>IFERROR(VLOOKUP(D146,Source_Grades!$A:$N,13,FALSE()),0)</f>
        <v>122</v>
      </c>
      <c r="O146" s="54">
        <f>IFERROR(VLOOKUP(D146,Source_Grades!$A:$V,22,FALSE())*100,0)</f>
        <v>33.333333333333329</v>
      </c>
      <c r="P146" s="55">
        <f>IFERROR(VLOOKUP(D146,Source_Grades!$A:$Z,25,FALSE())*20,0)</f>
        <v>40</v>
      </c>
      <c r="Q146" s="55">
        <f t="shared" si="0"/>
        <v>90.370370370370367</v>
      </c>
      <c r="R146" s="55">
        <f t="shared" si="1"/>
        <v>33.333333333333329</v>
      </c>
      <c r="S146" s="55">
        <f t="shared" si="2"/>
        <v>0</v>
      </c>
      <c r="T146" s="56">
        <f t="shared" si="3"/>
        <v>28.074074074074069</v>
      </c>
      <c r="U146" s="57" t="str">
        <f t="shared" si="4"/>
        <v>لا</v>
      </c>
      <c r="V146" s="58" t="str">
        <f t="shared" si="5"/>
        <v>لم ينجح</v>
      </c>
    </row>
    <row r="147" spans="1:22" ht="15.7" customHeight="1" thickBot="1" x14ac:dyDescent="0.45">
      <c r="A147" s="89" t="s">
        <v>769</v>
      </c>
      <c r="B147" s="59">
        <v>1</v>
      </c>
      <c r="C147" s="60" t="s">
        <v>477</v>
      </c>
      <c r="D147" s="59" t="s">
        <v>475</v>
      </c>
      <c r="E147" s="59" t="s">
        <v>437</v>
      </c>
      <c r="F147" s="59" t="s">
        <v>439</v>
      </c>
      <c r="G147" s="59" t="s">
        <v>481</v>
      </c>
      <c r="H147" s="59" t="s">
        <v>479</v>
      </c>
      <c r="I147" s="84" t="s">
        <v>808</v>
      </c>
      <c r="J147" s="16">
        <v>0</v>
      </c>
      <c r="K147" s="90">
        <f>IFERROR(_xlfn.XLOOKUP(D147, Project_Scores!$D:$D, Project_Scores!$F:$F, 0), 0)</f>
        <v>0</v>
      </c>
      <c r="L147" s="90">
        <f>IFERROR(_xlfn.XLOOKUP(D147, Project_Scores!$D:$D, Project_Scores!$G:$G, 0), 0)</f>
        <v>0</v>
      </c>
      <c r="M147" s="71">
        <f t="shared" si="8"/>
        <v>0</v>
      </c>
      <c r="N147" s="22">
        <f>IFERROR(VLOOKUP(D147,Source_Grades!$A:$N,13,FALSE()),0)</f>
        <v>137</v>
      </c>
      <c r="O147" s="23">
        <f>IFERROR(VLOOKUP(D147,Source_Grades!$A:$V,22,FALSE())*100,0)</f>
        <v>83.333333333333343</v>
      </c>
      <c r="P147" s="27">
        <f>IFERROR(VLOOKUP(D147,Source_Grades!$A:$Z,25,FALSE())*20,0)</f>
        <v>100</v>
      </c>
      <c r="Q147" s="27">
        <f t="shared" si="0"/>
        <v>101.48148148148148</v>
      </c>
      <c r="R147" s="27">
        <f t="shared" si="1"/>
        <v>83.333333333333343</v>
      </c>
      <c r="S147" s="27">
        <f t="shared" si="2"/>
        <v>0</v>
      </c>
      <c r="T147" s="34">
        <f t="shared" si="3"/>
        <v>45.296296296296305</v>
      </c>
      <c r="U147" s="36" t="str">
        <f t="shared" si="4"/>
        <v>نعم</v>
      </c>
      <c r="V147" s="37" t="str">
        <f t="shared" si="5"/>
        <v>لم ينجح</v>
      </c>
    </row>
    <row r="148" spans="1:22" ht="15.7" customHeight="1" thickBot="1" x14ac:dyDescent="0.45">
      <c r="A148" s="78"/>
      <c r="B148" s="61">
        <v>2</v>
      </c>
      <c r="C148" s="62" t="s">
        <v>770</v>
      </c>
      <c r="D148" s="61" t="s">
        <v>415</v>
      </c>
      <c r="E148" s="61" t="s">
        <v>437</v>
      </c>
      <c r="F148" s="61" t="s">
        <v>439</v>
      </c>
      <c r="G148" s="61" t="s">
        <v>420</v>
      </c>
      <c r="H148" s="61" t="s">
        <v>418</v>
      </c>
      <c r="I148" s="75"/>
      <c r="J148" s="42">
        <v>0</v>
      </c>
      <c r="K148" s="75"/>
      <c r="L148" s="75"/>
      <c r="M148" s="71">
        <f t="shared" si="8"/>
        <v>0</v>
      </c>
      <c r="N148" s="44">
        <f>IFERROR(VLOOKUP(D148,Source_Grades!$A:$N,13,FALSE()),0)</f>
        <v>100</v>
      </c>
      <c r="O148" s="45">
        <f>IFERROR(VLOOKUP(D148,Source_Grades!$A:$V,22,FALSE())*100,0)</f>
        <v>66.666666666666657</v>
      </c>
      <c r="P148" s="46">
        <f>IFERROR(VLOOKUP(D148,Source_Grades!$A:$Z,25,FALSE())*20,0)</f>
        <v>80</v>
      </c>
      <c r="Q148" s="46">
        <f t="shared" si="0"/>
        <v>74.074074074074076</v>
      </c>
      <c r="R148" s="46">
        <f t="shared" si="1"/>
        <v>66.666666666666657</v>
      </c>
      <c r="S148" s="46">
        <f t="shared" si="2"/>
        <v>0</v>
      </c>
      <c r="T148" s="47">
        <f t="shared" si="3"/>
        <v>34.81481481481481</v>
      </c>
      <c r="U148" s="48" t="str">
        <f t="shared" si="4"/>
        <v>نعم</v>
      </c>
      <c r="V148" s="49" t="str">
        <f t="shared" si="5"/>
        <v>لم ينجح</v>
      </c>
    </row>
    <row r="149" spans="1:22" ht="15.7" customHeight="1" thickBot="1" x14ac:dyDescent="0.45">
      <c r="A149" s="78"/>
      <c r="B149" s="61">
        <v>3</v>
      </c>
      <c r="C149" s="62" t="s">
        <v>771</v>
      </c>
      <c r="D149" s="61" t="s">
        <v>772</v>
      </c>
      <c r="E149" s="61" t="s">
        <v>81</v>
      </c>
      <c r="F149" s="61" t="s">
        <v>83</v>
      </c>
      <c r="G149" s="61" t="s">
        <v>1305</v>
      </c>
      <c r="H149" s="61" t="s">
        <v>1303</v>
      </c>
      <c r="I149" s="75"/>
      <c r="J149" s="42">
        <v>0</v>
      </c>
      <c r="K149" s="75"/>
      <c r="L149" s="75"/>
      <c r="M149" s="71">
        <f t="shared" si="8"/>
        <v>0</v>
      </c>
      <c r="N149" s="44">
        <f>IFERROR(VLOOKUP(D149,Source_Grades!$A:$N,13,FALSE()),0)</f>
        <v>134</v>
      </c>
      <c r="O149" s="45">
        <f>IFERROR(VLOOKUP(D149,Source_Grades!$A:$V,22,FALSE())*100,0)</f>
        <v>83.333333333333343</v>
      </c>
      <c r="P149" s="46">
        <f>IFERROR(VLOOKUP(D149,Source_Grades!$A:$Z,25,FALSE())*20,0)</f>
        <v>100</v>
      </c>
      <c r="Q149" s="46">
        <f t="shared" si="0"/>
        <v>99.259259259259252</v>
      </c>
      <c r="R149" s="46">
        <f t="shared" si="1"/>
        <v>83.333333333333343</v>
      </c>
      <c r="S149" s="46">
        <f t="shared" si="2"/>
        <v>0</v>
      </c>
      <c r="T149" s="47">
        <f t="shared" si="3"/>
        <v>44.851851851851855</v>
      </c>
      <c r="U149" s="48" t="str">
        <f t="shared" si="4"/>
        <v>نعم</v>
      </c>
      <c r="V149" s="49" t="str">
        <f t="shared" si="5"/>
        <v>لم ينجح</v>
      </c>
    </row>
    <row r="150" spans="1:22" ht="15.7" customHeight="1" thickBot="1" x14ac:dyDescent="0.45">
      <c r="A150" s="78"/>
      <c r="B150" s="61">
        <v>4</v>
      </c>
      <c r="C150" s="62" t="s">
        <v>773</v>
      </c>
      <c r="D150" s="61" t="s">
        <v>774</v>
      </c>
      <c r="E150" s="61" t="s">
        <v>614</v>
      </c>
      <c r="F150" s="61" t="s">
        <v>83</v>
      </c>
      <c r="G150" s="61" t="s">
        <v>1173</v>
      </c>
      <c r="H150" s="61" t="s">
        <v>1171</v>
      </c>
      <c r="I150" s="75"/>
      <c r="J150" s="42">
        <v>0</v>
      </c>
      <c r="K150" s="75"/>
      <c r="L150" s="75"/>
      <c r="M150" s="71">
        <f t="shared" si="8"/>
        <v>0</v>
      </c>
      <c r="N150" s="44">
        <f>IFERROR(VLOOKUP(D150,Source_Grades!$A:$N,13,FALSE()),0)</f>
        <v>107</v>
      </c>
      <c r="O150" s="45">
        <f>IFERROR(VLOOKUP(D150,Source_Grades!$A:$V,22,FALSE())*100,0)</f>
        <v>66.666666666666657</v>
      </c>
      <c r="P150" s="46">
        <f>IFERROR(VLOOKUP(D150,Source_Grades!$A:$Z,25,FALSE())*20,0)</f>
        <v>80</v>
      </c>
      <c r="Q150" s="46">
        <f t="shared" si="0"/>
        <v>79.259259259259267</v>
      </c>
      <c r="R150" s="46">
        <f t="shared" si="1"/>
        <v>66.666666666666657</v>
      </c>
      <c r="S150" s="46">
        <f t="shared" si="2"/>
        <v>0</v>
      </c>
      <c r="T150" s="47">
        <f t="shared" si="3"/>
        <v>35.851851851851848</v>
      </c>
      <c r="U150" s="48" t="str">
        <f t="shared" si="4"/>
        <v>نعم</v>
      </c>
      <c r="V150" s="49" t="str">
        <f t="shared" si="5"/>
        <v>لم ينجح</v>
      </c>
    </row>
    <row r="151" spans="1:22" ht="15.7" customHeight="1" thickBot="1" x14ac:dyDescent="0.45">
      <c r="A151" s="88"/>
      <c r="B151" s="63">
        <v>5</v>
      </c>
      <c r="C151" s="64" t="s">
        <v>591</v>
      </c>
      <c r="D151" s="63" t="s">
        <v>590</v>
      </c>
      <c r="E151" s="63" t="s">
        <v>1412</v>
      </c>
      <c r="F151" s="63" t="s">
        <v>845</v>
      </c>
      <c r="G151" s="63" t="s">
        <v>596</v>
      </c>
      <c r="H151" s="63" t="s">
        <v>594</v>
      </c>
      <c r="I151" s="85"/>
      <c r="J151" s="52">
        <v>0</v>
      </c>
      <c r="K151" s="76"/>
      <c r="L151" s="76"/>
      <c r="M151" s="71">
        <f t="shared" si="8"/>
        <v>0</v>
      </c>
      <c r="N151" s="53">
        <f>IFERROR(VLOOKUP(D151,Source_Grades!$A:$N,13,FALSE()),0)</f>
        <v>83</v>
      </c>
      <c r="O151" s="54">
        <f>IFERROR(VLOOKUP(D151,Source_Grades!$A:$V,22,FALSE())*100,0)</f>
        <v>83.333333333333343</v>
      </c>
      <c r="P151" s="55">
        <f>IFERROR(VLOOKUP(D151,Source_Grades!$A:$Z,25,FALSE())*20,0)</f>
        <v>100</v>
      </c>
      <c r="Q151" s="55">
        <f t="shared" si="0"/>
        <v>61.481481481481481</v>
      </c>
      <c r="R151" s="55">
        <f t="shared" si="1"/>
        <v>83.333333333333343</v>
      </c>
      <c r="S151" s="55">
        <f t="shared" si="2"/>
        <v>0</v>
      </c>
      <c r="T151" s="56">
        <f t="shared" si="3"/>
        <v>37.296296296296305</v>
      </c>
      <c r="U151" s="57" t="str">
        <f t="shared" si="4"/>
        <v>نعم</v>
      </c>
      <c r="V151" s="58" t="str">
        <f t="shared" si="5"/>
        <v>لم ينجح</v>
      </c>
    </row>
    <row r="152" spans="1:22" ht="15.7" customHeight="1" thickBot="1" x14ac:dyDescent="0.45">
      <c r="A152" s="87" t="s">
        <v>775</v>
      </c>
      <c r="B152" s="13">
        <v>1</v>
      </c>
      <c r="C152" s="14" t="s">
        <v>776</v>
      </c>
      <c r="D152" s="13" t="s">
        <v>629</v>
      </c>
      <c r="E152" s="13" t="s">
        <v>437</v>
      </c>
      <c r="F152" s="13" t="s">
        <v>439</v>
      </c>
      <c r="G152" s="13" t="s">
        <v>635</v>
      </c>
      <c r="H152" s="13" t="s">
        <v>633</v>
      </c>
      <c r="I152" s="86" t="s">
        <v>1413</v>
      </c>
      <c r="J152" s="16">
        <v>0</v>
      </c>
      <c r="K152" s="90">
        <f>IFERROR(_xlfn.XLOOKUP(D152, Project_Scores!$D:$D, Project_Scores!$F:$F, 0), 0)</f>
        <v>0</v>
      </c>
      <c r="L152" s="90">
        <f>IFERROR(_xlfn.XLOOKUP(D152, Project_Scores!$D:$D, Project_Scores!$G:$G, 0), 0)</f>
        <v>0</v>
      </c>
      <c r="M152" s="71">
        <f t="shared" si="8"/>
        <v>0</v>
      </c>
      <c r="N152" s="22">
        <f>IFERROR(VLOOKUP(D152,Source_Grades!$A:$N,13,FALSE()),0)</f>
        <v>79</v>
      </c>
      <c r="O152" s="23">
        <f>IFERROR(VLOOKUP(D152,Source_Grades!$A:$V,22,FALSE())*100,0)</f>
        <v>66.666666666666657</v>
      </c>
      <c r="P152" s="27">
        <f>IFERROR(VLOOKUP(D152,Source_Grades!$A:$Z,25,FALSE())*20,0)</f>
        <v>80</v>
      </c>
      <c r="Q152" s="27">
        <f t="shared" si="0"/>
        <v>58.518518518518512</v>
      </c>
      <c r="R152" s="27">
        <f t="shared" si="1"/>
        <v>66.666666666666657</v>
      </c>
      <c r="S152" s="27">
        <f t="shared" si="2"/>
        <v>0</v>
      </c>
      <c r="T152" s="34">
        <f t="shared" si="3"/>
        <v>31.703703703703699</v>
      </c>
      <c r="U152" s="36" t="str">
        <f t="shared" si="4"/>
        <v>نعم</v>
      </c>
      <c r="V152" s="37" t="str">
        <f t="shared" si="5"/>
        <v>لم ينجح</v>
      </c>
    </row>
    <row r="153" spans="1:22" ht="15.7" customHeight="1" thickBot="1" x14ac:dyDescent="0.45">
      <c r="A153" s="78"/>
      <c r="B153" s="38">
        <v>2</v>
      </c>
      <c r="C153" s="39" t="s">
        <v>777</v>
      </c>
      <c r="D153" s="38" t="s">
        <v>778</v>
      </c>
      <c r="E153" s="38" t="s">
        <v>1412</v>
      </c>
      <c r="F153" s="38" t="s">
        <v>1047</v>
      </c>
      <c r="G153" s="38" t="s">
        <v>1323</v>
      </c>
      <c r="H153" s="38" t="s">
        <v>1321</v>
      </c>
      <c r="I153" s="75"/>
      <c r="J153" s="42">
        <v>0</v>
      </c>
      <c r="K153" s="75"/>
      <c r="L153" s="75"/>
      <c r="M153" s="71">
        <f t="shared" si="8"/>
        <v>0</v>
      </c>
      <c r="N153" s="44">
        <f>IFERROR(VLOOKUP(D153,Source_Grades!$A:$N,13,FALSE()),0)</f>
        <v>134</v>
      </c>
      <c r="O153" s="45">
        <f>IFERROR(VLOOKUP(D153,Source_Grades!$A:$V,22,FALSE())*100,0)</f>
        <v>66.666666666666657</v>
      </c>
      <c r="P153" s="46">
        <f>IFERROR(VLOOKUP(D153,Source_Grades!$A:$Z,25,FALSE())*20,0)</f>
        <v>80</v>
      </c>
      <c r="Q153" s="46">
        <f t="shared" si="0"/>
        <v>99.259259259259252</v>
      </c>
      <c r="R153" s="46">
        <f t="shared" si="1"/>
        <v>66.666666666666657</v>
      </c>
      <c r="S153" s="46">
        <f t="shared" si="2"/>
        <v>0</v>
      </c>
      <c r="T153" s="47">
        <f t="shared" si="3"/>
        <v>39.851851851851848</v>
      </c>
      <c r="U153" s="48" t="str">
        <f t="shared" si="4"/>
        <v>نعم</v>
      </c>
      <c r="V153" s="49" t="str">
        <f t="shared" si="5"/>
        <v>لم ينجح</v>
      </c>
    </row>
    <row r="154" spans="1:22" ht="15.7" customHeight="1" thickBot="1" x14ac:dyDescent="0.45">
      <c r="A154" s="78"/>
      <c r="B154" s="38">
        <v>3</v>
      </c>
      <c r="C154" s="39" t="s">
        <v>779</v>
      </c>
      <c r="D154" s="38" t="s">
        <v>780</v>
      </c>
      <c r="E154" s="38" t="s">
        <v>437</v>
      </c>
      <c r="F154" s="38" t="s">
        <v>845</v>
      </c>
      <c r="G154" s="38" t="s">
        <v>980</v>
      </c>
      <c r="H154" s="38" t="s">
        <v>978</v>
      </c>
      <c r="I154" s="75"/>
      <c r="J154" s="42">
        <v>0</v>
      </c>
      <c r="K154" s="75"/>
      <c r="L154" s="75"/>
      <c r="M154" s="71">
        <f t="shared" si="8"/>
        <v>0</v>
      </c>
      <c r="N154" s="44">
        <f>IFERROR(VLOOKUP(D154,Source_Grades!$A:$N,13,FALSE()),0)</f>
        <v>115</v>
      </c>
      <c r="O154" s="45">
        <f>IFERROR(VLOOKUP(D154,Source_Grades!$A:$V,22,FALSE())*100,0)</f>
        <v>83.333333333333343</v>
      </c>
      <c r="P154" s="46">
        <f>IFERROR(VLOOKUP(D154,Source_Grades!$A:$Z,25,FALSE())*20,0)</f>
        <v>100</v>
      </c>
      <c r="Q154" s="46">
        <f t="shared" si="0"/>
        <v>85.18518518518519</v>
      </c>
      <c r="R154" s="46">
        <f t="shared" si="1"/>
        <v>83.333333333333343</v>
      </c>
      <c r="S154" s="46">
        <f t="shared" si="2"/>
        <v>0</v>
      </c>
      <c r="T154" s="47">
        <f t="shared" si="3"/>
        <v>42.037037037037038</v>
      </c>
      <c r="U154" s="48" t="str">
        <f t="shared" si="4"/>
        <v>نعم</v>
      </c>
      <c r="V154" s="49" t="str">
        <f t="shared" si="5"/>
        <v>لم ينجح</v>
      </c>
    </row>
    <row r="155" spans="1:22" ht="15.7" customHeight="1" thickBot="1" x14ac:dyDescent="0.45">
      <c r="A155" s="78"/>
      <c r="B155" s="38">
        <v>4</v>
      </c>
      <c r="C155" s="39" t="s">
        <v>781</v>
      </c>
      <c r="D155" s="38" t="s">
        <v>782</v>
      </c>
      <c r="E155" s="38" t="s">
        <v>437</v>
      </c>
      <c r="F155" s="38" t="s">
        <v>845</v>
      </c>
      <c r="G155" s="38" t="s">
        <v>848</v>
      </c>
      <c r="H155" s="38" t="s">
        <v>1414</v>
      </c>
      <c r="I155" s="75"/>
      <c r="J155" s="42">
        <v>0</v>
      </c>
      <c r="K155" s="75"/>
      <c r="L155" s="75"/>
      <c r="M155" s="71">
        <f t="shared" si="8"/>
        <v>0</v>
      </c>
      <c r="N155" s="44">
        <f>IFERROR(VLOOKUP(D155,Source_Grades!$A:$N,13,FALSE()),0)</f>
        <v>89</v>
      </c>
      <c r="O155" s="45">
        <f>IFERROR(VLOOKUP(D155,Source_Grades!$A:$V,22,FALSE())*100,0)</f>
        <v>83.333333333333343</v>
      </c>
      <c r="P155" s="46">
        <f>IFERROR(VLOOKUP(D155,Source_Grades!$A:$Z,25,FALSE())*20,0)</f>
        <v>100</v>
      </c>
      <c r="Q155" s="46">
        <f t="shared" si="0"/>
        <v>65.925925925925924</v>
      </c>
      <c r="R155" s="46">
        <f t="shared" si="1"/>
        <v>83.333333333333343</v>
      </c>
      <c r="S155" s="46">
        <f t="shared" si="2"/>
        <v>0</v>
      </c>
      <c r="T155" s="47">
        <f t="shared" si="3"/>
        <v>38.18518518518519</v>
      </c>
      <c r="U155" s="48" t="str">
        <f t="shared" si="4"/>
        <v>نعم</v>
      </c>
      <c r="V155" s="49" t="str">
        <f t="shared" si="5"/>
        <v>لم ينجح</v>
      </c>
    </row>
    <row r="156" spans="1:22" ht="15.7" customHeight="1" thickBot="1" x14ac:dyDescent="0.45">
      <c r="A156" s="88"/>
      <c r="B156" s="50">
        <v>5</v>
      </c>
      <c r="C156" s="51" t="s">
        <v>783</v>
      </c>
      <c r="D156" s="50" t="s">
        <v>784</v>
      </c>
      <c r="E156" s="50" t="s">
        <v>81</v>
      </c>
      <c r="F156" s="50" t="s">
        <v>1415</v>
      </c>
      <c r="G156" s="50" t="s">
        <v>1214</v>
      </c>
      <c r="H156" s="50" t="s">
        <v>1212</v>
      </c>
      <c r="I156" s="85"/>
      <c r="J156" s="52">
        <v>0</v>
      </c>
      <c r="K156" s="76"/>
      <c r="L156" s="76"/>
      <c r="M156" s="71">
        <f t="shared" si="8"/>
        <v>0</v>
      </c>
      <c r="N156" s="53">
        <f>IFERROR(VLOOKUP(D156,Source_Grades!$A:$N,13,FALSE()),0)</f>
        <v>90</v>
      </c>
      <c r="O156" s="54">
        <f>IFERROR(VLOOKUP(D156,Source_Grades!$A:$V,22,FALSE())*100,0)</f>
        <v>50</v>
      </c>
      <c r="P156" s="55">
        <f>IFERROR(VLOOKUP(D156,Source_Grades!$A:$Z,25,FALSE())*20,0)</f>
        <v>60</v>
      </c>
      <c r="Q156" s="55">
        <f t="shared" si="0"/>
        <v>66.666666666666657</v>
      </c>
      <c r="R156" s="55">
        <f t="shared" si="1"/>
        <v>50</v>
      </c>
      <c r="S156" s="55">
        <f t="shared" si="2"/>
        <v>0</v>
      </c>
      <c r="T156" s="56">
        <f t="shared" si="3"/>
        <v>28.333333333333332</v>
      </c>
      <c r="U156" s="57" t="str">
        <f t="shared" si="4"/>
        <v>لا</v>
      </c>
      <c r="V156" s="58" t="str">
        <f t="shared" si="5"/>
        <v>لم ينجح</v>
      </c>
    </row>
    <row r="157" spans="1:22" ht="15.7" customHeight="1" thickBot="1" x14ac:dyDescent="0.45">
      <c r="A157" s="89" t="s">
        <v>785</v>
      </c>
      <c r="B157" s="59">
        <v>1</v>
      </c>
      <c r="C157" s="60" t="s">
        <v>786</v>
      </c>
      <c r="D157" s="59" t="s">
        <v>787</v>
      </c>
      <c r="E157" s="59" t="s">
        <v>437</v>
      </c>
      <c r="F157" s="59" t="s">
        <v>439</v>
      </c>
      <c r="G157" s="59" t="s">
        <v>1107</v>
      </c>
      <c r="H157" s="59" t="s">
        <v>1105</v>
      </c>
      <c r="I157" s="84" t="s">
        <v>808</v>
      </c>
      <c r="J157" s="16">
        <v>0</v>
      </c>
      <c r="K157" s="90">
        <f>IFERROR(_xlfn.XLOOKUP(D157, Project_Scores!$D:$D, Project_Scores!$F:$F, 0), 0)</f>
        <v>0</v>
      </c>
      <c r="L157" s="90">
        <f>IFERROR(_xlfn.XLOOKUP(D157, Project_Scores!$D:$D, Project_Scores!$G:$G, 0), 0)</f>
        <v>0</v>
      </c>
      <c r="M157" s="71">
        <f t="shared" si="8"/>
        <v>0</v>
      </c>
      <c r="N157" s="22">
        <f>IFERROR(VLOOKUP(D157,Source_Grades!$A:$N,13,FALSE()),0)</f>
        <v>75</v>
      </c>
      <c r="O157" s="23">
        <f>IFERROR(VLOOKUP(D157,Source_Grades!$A:$V,22,FALSE())*100,0)</f>
        <v>83.333333333333343</v>
      </c>
      <c r="P157" s="27">
        <f>IFERROR(VLOOKUP(D157,Source_Grades!$A:$Z,25,FALSE())*20,0)</f>
        <v>100</v>
      </c>
      <c r="Q157" s="27">
        <f t="shared" si="0"/>
        <v>55.555555555555557</v>
      </c>
      <c r="R157" s="27">
        <f t="shared" si="1"/>
        <v>83.333333333333343</v>
      </c>
      <c r="S157" s="27">
        <f t="shared" si="2"/>
        <v>0</v>
      </c>
      <c r="T157" s="34">
        <f t="shared" si="3"/>
        <v>36.111111111111114</v>
      </c>
      <c r="U157" s="36" t="str">
        <f t="shared" si="4"/>
        <v>نعم</v>
      </c>
      <c r="V157" s="37" t="str">
        <f t="shared" si="5"/>
        <v>لم ينجح</v>
      </c>
    </row>
    <row r="158" spans="1:22" ht="15.7" customHeight="1" thickBot="1" x14ac:dyDescent="0.45">
      <c r="A158" s="78"/>
      <c r="B158" s="61">
        <v>2</v>
      </c>
      <c r="C158" s="62" t="s">
        <v>788</v>
      </c>
      <c r="D158" s="61" t="s">
        <v>789</v>
      </c>
      <c r="E158" s="61" t="s">
        <v>81</v>
      </c>
      <c r="F158" s="61" t="s">
        <v>83</v>
      </c>
      <c r="G158" s="61" t="s">
        <v>1416</v>
      </c>
      <c r="H158" s="61" t="s">
        <v>972</v>
      </c>
      <c r="I158" s="75"/>
      <c r="J158" s="42">
        <v>0</v>
      </c>
      <c r="K158" s="75"/>
      <c r="L158" s="75"/>
      <c r="M158" s="71">
        <f t="shared" si="8"/>
        <v>0</v>
      </c>
      <c r="N158" s="44">
        <f>IFERROR(VLOOKUP(D158,Source_Grades!$A:$N,13,FALSE()),0)</f>
        <v>25</v>
      </c>
      <c r="O158" s="45">
        <f>IFERROR(VLOOKUP(D158,Source_Grades!$A:$V,22,FALSE())*100,0)</f>
        <v>66.666666666666657</v>
      </c>
      <c r="P158" s="46">
        <f>IFERROR(VLOOKUP(D158,Source_Grades!$A:$Z,25,FALSE())*20,0)</f>
        <v>80</v>
      </c>
      <c r="Q158" s="46">
        <f t="shared" si="0"/>
        <v>18.518518518518519</v>
      </c>
      <c r="R158" s="46">
        <f t="shared" si="1"/>
        <v>66.666666666666657</v>
      </c>
      <c r="S158" s="46">
        <f t="shared" si="2"/>
        <v>0</v>
      </c>
      <c r="T158" s="47">
        <f t="shared" si="3"/>
        <v>23.703703703703702</v>
      </c>
      <c r="U158" s="48" t="str">
        <f t="shared" si="4"/>
        <v>نعم</v>
      </c>
      <c r="V158" s="49" t="str">
        <f t="shared" si="5"/>
        <v>لم ينجح</v>
      </c>
    </row>
    <row r="159" spans="1:22" ht="15.7" customHeight="1" thickBot="1" x14ac:dyDescent="0.45">
      <c r="A159" s="78"/>
      <c r="B159" s="61">
        <v>3</v>
      </c>
      <c r="C159" s="62" t="s">
        <v>790</v>
      </c>
      <c r="D159" s="61" t="s">
        <v>791</v>
      </c>
      <c r="E159" s="61" t="s">
        <v>437</v>
      </c>
      <c r="F159" s="61" t="s">
        <v>845</v>
      </c>
      <c r="G159" s="61" t="s">
        <v>843</v>
      </c>
      <c r="H159" s="61" t="s">
        <v>841</v>
      </c>
      <c r="I159" s="75"/>
      <c r="J159" s="42">
        <v>0</v>
      </c>
      <c r="K159" s="75"/>
      <c r="L159" s="75"/>
      <c r="M159" s="71">
        <f t="shared" si="8"/>
        <v>0</v>
      </c>
      <c r="N159" s="44">
        <f>IFERROR(VLOOKUP(D159,Source_Grades!$A:$N,13,FALSE()),0)</f>
        <v>120</v>
      </c>
      <c r="O159" s="45">
        <f>IFERROR(VLOOKUP(D159,Source_Grades!$A:$V,22,FALSE())*100,0)</f>
        <v>83.333333333333343</v>
      </c>
      <c r="P159" s="46">
        <f>IFERROR(VLOOKUP(D159,Source_Grades!$A:$Z,25,FALSE())*20,0)</f>
        <v>100</v>
      </c>
      <c r="Q159" s="46">
        <f t="shared" si="0"/>
        <v>88.888888888888886</v>
      </c>
      <c r="R159" s="46">
        <f t="shared" si="1"/>
        <v>83.333333333333343</v>
      </c>
      <c r="S159" s="46">
        <f t="shared" si="2"/>
        <v>0</v>
      </c>
      <c r="T159" s="47">
        <f t="shared" si="3"/>
        <v>42.777777777777786</v>
      </c>
      <c r="U159" s="48" t="str">
        <f t="shared" si="4"/>
        <v>نعم</v>
      </c>
      <c r="V159" s="49" t="str">
        <f t="shared" si="5"/>
        <v>لم ينجح</v>
      </c>
    </row>
    <row r="160" spans="1:22" ht="15.7" customHeight="1" thickBot="1" x14ac:dyDescent="0.45">
      <c r="A160" s="78"/>
      <c r="B160" s="61">
        <v>4</v>
      </c>
      <c r="C160" s="62" t="s">
        <v>792</v>
      </c>
      <c r="D160" s="61" t="s">
        <v>512</v>
      </c>
      <c r="E160" s="61" t="s">
        <v>437</v>
      </c>
      <c r="F160" s="61" t="s">
        <v>845</v>
      </c>
      <c r="G160" s="61" t="s">
        <v>516</v>
      </c>
      <c r="H160" s="61" t="s">
        <v>514</v>
      </c>
      <c r="I160" s="75"/>
      <c r="J160" s="42">
        <v>0</v>
      </c>
      <c r="K160" s="75"/>
      <c r="L160" s="75"/>
      <c r="M160" s="71">
        <f t="shared" si="8"/>
        <v>0</v>
      </c>
      <c r="N160" s="44">
        <f>IFERROR(VLOOKUP(D160,Source_Grades!$A:$N,13,FALSE()),0)</f>
        <v>136</v>
      </c>
      <c r="O160" s="45">
        <f>IFERROR(VLOOKUP(D160,Source_Grades!$A:$V,22,FALSE())*100,0)</f>
        <v>66.666666666666657</v>
      </c>
      <c r="P160" s="46">
        <f>IFERROR(VLOOKUP(D160,Source_Grades!$A:$Z,25,FALSE())*20,0)</f>
        <v>80</v>
      </c>
      <c r="Q160" s="46">
        <f t="shared" si="0"/>
        <v>100.74074074074073</v>
      </c>
      <c r="R160" s="46">
        <f t="shared" si="1"/>
        <v>66.666666666666657</v>
      </c>
      <c r="S160" s="46">
        <f t="shared" si="2"/>
        <v>0</v>
      </c>
      <c r="T160" s="47">
        <f t="shared" si="3"/>
        <v>40.148148148148145</v>
      </c>
      <c r="U160" s="48" t="str">
        <f t="shared" si="4"/>
        <v>نعم</v>
      </c>
      <c r="V160" s="49" t="str">
        <f t="shared" si="5"/>
        <v>لم ينجح</v>
      </c>
    </row>
    <row r="161" spans="1:22" ht="15.7" customHeight="1" thickBot="1" x14ac:dyDescent="0.45">
      <c r="A161" s="88"/>
      <c r="B161" s="63">
        <v>5</v>
      </c>
      <c r="C161" s="64" t="s">
        <v>793</v>
      </c>
      <c r="D161" s="63" t="s">
        <v>794</v>
      </c>
      <c r="E161" s="63" t="s">
        <v>614</v>
      </c>
      <c r="F161" s="63" t="s">
        <v>83</v>
      </c>
      <c r="G161" s="63" t="s">
        <v>1417</v>
      </c>
      <c r="H161" s="63" t="s">
        <v>1065</v>
      </c>
      <c r="I161" s="85"/>
      <c r="J161" s="52">
        <v>0</v>
      </c>
      <c r="K161" s="76"/>
      <c r="L161" s="76"/>
      <c r="M161" s="71">
        <f t="shared" si="8"/>
        <v>0</v>
      </c>
      <c r="N161" s="53">
        <f>IFERROR(VLOOKUP(D161,Source_Grades!$A:$N,13,FALSE()),0)</f>
        <v>92</v>
      </c>
      <c r="O161" s="54">
        <f>IFERROR(VLOOKUP(D161,Source_Grades!$A:$V,22,FALSE())*100,0)</f>
        <v>66.666666666666657</v>
      </c>
      <c r="P161" s="55">
        <f>IFERROR(VLOOKUP(D161,Source_Grades!$A:$Z,25,FALSE())*20,0)</f>
        <v>80</v>
      </c>
      <c r="Q161" s="55">
        <f t="shared" si="0"/>
        <v>68.148148148148152</v>
      </c>
      <c r="R161" s="55">
        <f t="shared" si="1"/>
        <v>66.666666666666657</v>
      </c>
      <c r="S161" s="55">
        <f t="shared" si="2"/>
        <v>0</v>
      </c>
      <c r="T161" s="56">
        <f t="shared" si="3"/>
        <v>33.629629629629626</v>
      </c>
      <c r="U161" s="57" t="str">
        <f t="shared" si="4"/>
        <v>نعم</v>
      </c>
      <c r="V161" s="58" t="str">
        <f t="shared" si="5"/>
        <v>لم ينجح</v>
      </c>
    </row>
    <row r="162" spans="1:22" ht="15.7" customHeight="1" thickBot="1" x14ac:dyDescent="0.45">
      <c r="A162" s="87" t="s">
        <v>795</v>
      </c>
      <c r="B162" s="13">
        <v>1</v>
      </c>
      <c r="C162" s="14" t="s">
        <v>796</v>
      </c>
      <c r="D162" s="13" t="s">
        <v>797</v>
      </c>
      <c r="E162" s="13" t="s">
        <v>1412</v>
      </c>
      <c r="F162" s="13" t="s">
        <v>1047</v>
      </c>
      <c r="G162" s="13" t="s">
        <v>1281</v>
      </c>
      <c r="H162" s="13" t="s">
        <v>1279</v>
      </c>
      <c r="I162" s="86" t="s">
        <v>1418</v>
      </c>
      <c r="J162" s="16">
        <v>0</v>
      </c>
      <c r="K162" s="90">
        <f>IFERROR(_xlfn.XLOOKUP(D2, Project_Scores!$D:$D, Project_Scores!$F:$F, 0), 0)</f>
        <v>0</v>
      </c>
      <c r="L162" s="90">
        <f>IFERROR(_xlfn.XLOOKUP(D2, Project_Scores!$D:$D, Project_Scores!$G:$G, 0), 0)</f>
        <v>0</v>
      </c>
      <c r="M162" s="71">
        <f t="shared" si="8"/>
        <v>0</v>
      </c>
      <c r="N162" s="22">
        <f>IFERROR(VLOOKUP(D162,Source_Grades!$A:$N,13,FALSE()),0)</f>
        <v>95</v>
      </c>
      <c r="O162" s="23">
        <f>IFERROR(VLOOKUP(D162,Source_Grades!$A:$V,22,FALSE())*100,0)</f>
        <v>66.666666666666657</v>
      </c>
      <c r="P162" s="27">
        <f>IFERROR(VLOOKUP(D162,Source_Grades!$A:$Z,25,FALSE())*20,0)</f>
        <v>80</v>
      </c>
      <c r="Q162" s="27">
        <f t="shared" si="0"/>
        <v>70.370370370370367</v>
      </c>
      <c r="R162" s="27">
        <f t="shared" si="1"/>
        <v>66.666666666666657</v>
      </c>
      <c r="S162" s="27">
        <f t="shared" si="2"/>
        <v>0</v>
      </c>
      <c r="T162" s="34">
        <f t="shared" si="3"/>
        <v>34.074074074074069</v>
      </c>
      <c r="U162" s="36" t="str">
        <f t="shared" si="4"/>
        <v>نعم</v>
      </c>
      <c r="V162" s="37" t="str">
        <f t="shared" si="5"/>
        <v>لم ينجح</v>
      </c>
    </row>
    <row r="163" spans="1:22" ht="15.7" customHeight="1" thickBot="1" x14ac:dyDescent="0.45">
      <c r="A163" s="78"/>
      <c r="B163" s="38">
        <v>2</v>
      </c>
      <c r="C163" s="39" t="s">
        <v>798</v>
      </c>
      <c r="D163" s="38" t="s">
        <v>799</v>
      </c>
      <c r="E163" s="38" t="s">
        <v>1412</v>
      </c>
      <c r="F163" s="38" t="s">
        <v>1047</v>
      </c>
      <c r="G163" s="38" t="s">
        <v>1419</v>
      </c>
      <c r="H163" s="38" t="s">
        <v>1237</v>
      </c>
      <c r="I163" s="75"/>
      <c r="J163" s="42">
        <v>0</v>
      </c>
      <c r="K163" s="92"/>
      <c r="L163" s="92"/>
      <c r="M163" s="71">
        <f t="shared" si="8"/>
        <v>0</v>
      </c>
      <c r="N163" s="44">
        <f>IFERROR(VLOOKUP(D163,Source_Grades!$A:$N,13,FALSE()),0)</f>
        <v>49.5</v>
      </c>
      <c r="O163" s="45">
        <f>IFERROR(VLOOKUP(D163,Source_Grades!$A:$V,22,FALSE())*100,0)</f>
        <v>83.333333333333343</v>
      </c>
      <c r="P163" s="46">
        <f>IFERROR(VLOOKUP(D163,Source_Grades!$A:$Z,25,FALSE())*20,0)</f>
        <v>100</v>
      </c>
      <c r="Q163" s="46">
        <f t="shared" si="0"/>
        <v>36.666666666666664</v>
      </c>
      <c r="R163" s="46">
        <f t="shared" si="1"/>
        <v>83.333333333333343</v>
      </c>
      <c r="S163" s="46">
        <f t="shared" si="2"/>
        <v>0</v>
      </c>
      <c r="T163" s="47">
        <f t="shared" si="3"/>
        <v>32.333333333333336</v>
      </c>
      <c r="U163" s="48" t="str">
        <f t="shared" si="4"/>
        <v>نعم</v>
      </c>
      <c r="V163" s="49" t="str">
        <f t="shared" si="5"/>
        <v>لم ينجح</v>
      </c>
    </row>
    <row r="164" spans="1:22" ht="15.7" customHeight="1" thickBot="1" x14ac:dyDescent="0.45">
      <c r="A164" s="88"/>
      <c r="B164" s="50">
        <v>3</v>
      </c>
      <c r="C164" s="51" t="s">
        <v>800</v>
      </c>
      <c r="D164" s="50" t="s">
        <v>801</v>
      </c>
      <c r="E164" s="50" t="s">
        <v>1412</v>
      </c>
      <c r="F164" s="50" t="s">
        <v>1420</v>
      </c>
      <c r="G164" s="50" t="s">
        <v>1421</v>
      </c>
      <c r="H164" s="50" t="s">
        <v>1422</v>
      </c>
      <c r="I164" s="85"/>
      <c r="J164" s="42">
        <v>0</v>
      </c>
      <c r="K164" s="93"/>
      <c r="L164" s="93"/>
      <c r="M164" s="71">
        <f t="shared" si="8"/>
        <v>0</v>
      </c>
      <c r="N164" s="53">
        <f>IFERROR(VLOOKUP(D164,Source_Grades!$A:$N,13,FALSE()),0)</f>
        <v>0</v>
      </c>
      <c r="O164" s="54">
        <f>IFERROR(VLOOKUP(D164,Source_Grades!$A:$V,22,FALSE())*100,0)</f>
        <v>0</v>
      </c>
      <c r="P164" s="55">
        <f>IFERROR(VLOOKUP(D164,Source_Grades!$A:$Z,25,FALSE())*20,0)</f>
        <v>0</v>
      </c>
      <c r="Q164" s="55">
        <f t="shared" si="0"/>
        <v>0</v>
      </c>
      <c r="R164" s="55">
        <f t="shared" si="1"/>
        <v>0</v>
      </c>
      <c r="S164" s="55">
        <f t="shared" si="2"/>
        <v>0</v>
      </c>
      <c r="T164" s="56">
        <f t="shared" si="3"/>
        <v>0</v>
      </c>
      <c r="U164" s="57" t="str">
        <f t="shared" si="4"/>
        <v>لا</v>
      </c>
      <c r="V164" s="58" t="str">
        <f t="shared" si="5"/>
        <v>لم ينجح</v>
      </c>
    </row>
    <row r="165" spans="1:22" ht="15.7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72"/>
      <c r="N165" s="2"/>
      <c r="O165" s="2"/>
      <c r="P165" s="2"/>
      <c r="Q165" s="2"/>
      <c r="R165" s="2"/>
      <c r="S165" s="2"/>
      <c r="T165" s="2"/>
      <c r="U165" s="2"/>
      <c r="V165" s="2"/>
    </row>
    <row r="166" spans="1:22" ht="15.7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72"/>
      <c r="N166" s="2"/>
      <c r="O166" s="2"/>
      <c r="P166" s="2"/>
      <c r="Q166" s="2"/>
      <c r="R166" s="2"/>
      <c r="S166" s="2"/>
      <c r="T166" s="2"/>
      <c r="U166" s="2"/>
      <c r="V166" s="2"/>
    </row>
    <row r="167" spans="1:22" ht="15.7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72"/>
      <c r="N167" s="2"/>
      <c r="O167" s="2"/>
      <c r="P167" s="2"/>
      <c r="Q167" s="2"/>
      <c r="R167" s="2"/>
      <c r="S167" s="2"/>
      <c r="T167" s="2"/>
      <c r="U167" s="2"/>
      <c r="V167" s="2"/>
    </row>
    <row r="168" spans="1:22" ht="15.7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72"/>
      <c r="N168" s="2"/>
      <c r="O168" s="2"/>
      <c r="P168" s="2"/>
      <c r="Q168" s="2"/>
      <c r="R168" s="2"/>
      <c r="S168" s="2"/>
      <c r="T168" s="2"/>
      <c r="U168" s="2"/>
      <c r="V168" s="2"/>
    </row>
    <row r="169" spans="1:22" ht="15.7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72"/>
      <c r="N169" s="2"/>
      <c r="O169" s="2"/>
      <c r="P169" s="2"/>
      <c r="Q169" s="2"/>
      <c r="R169" s="2"/>
      <c r="S169" s="2"/>
      <c r="T169" s="2"/>
      <c r="U169" s="2"/>
      <c r="V169" s="2"/>
    </row>
    <row r="170" spans="1:22" ht="15.7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72"/>
      <c r="N170" s="2"/>
      <c r="O170" s="2"/>
      <c r="P170" s="2"/>
      <c r="Q170" s="2"/>
      <c r="R170" s="2"/>
      <c r="S170" s="2"/>
      <c r="T170" s="2"/>
      <c r="U170" s="2"/>
      <c r="V170" s="2"/>
    </row>
    <row r="171" spans="1:22" ht="15.7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72"/>
      <c r="N171" s="2"/>
      <c r="O171" s="2"/>
      <c r="P171" s="2"/>
      <c r="Q171" s="2"/>
      <c r="R171" s="2"/>
      <c r="S171" s="2"/>
      <c r="T171" s="2"/>
      <c r="U171" s="2"/>
      <c r="V171" s="2"/>
    </row>
    <row r="172" spans="1:22" ht="15.7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72"/>
      <c r="N172" s="2"/>
      <c r="O172" s="2"/>
      <c r="P172" s="2"/>
      <c r="Q172" s="2"/>
      <c r="R172" s="2"/>
      <c r="S172" s="2"/>
      <c r="T172" s="2"/>
      <c r="U172" s="2"/>
      <c r="V172" s="2"/>
    </row>
    <row r="173" spans="1:22" ht="15.7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72"/>
      <c r="N173" s="2"/>
      <c r="O173" s="2"/>
      <c r="P173" s="2"/>
      <c r="Q173" s="2"/>
      <c r="R173" s="2"/>
      <c r="S173" s="2"/>
      <c r="T173" s="2"/>
      <c r="U173" s="2"/>
      <c r="V173" s="2"/>
    </row>
    <row r="174" spans="1:22" ht="15.7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72"/>
      <c r="N174" s="2"/>
      <c r="O174" s="2"/>
      <c r="P174" s="2"/>
      <c r="Q174" s="2"/>
      <c r="R174" s="2"/>
      <c r="S174" s="2"/>
      <c r="T174" s="2"/>
      <c r="U174" s="2"/>
      <c r="V174" s="2"/>
    </row>
    <row r="175" spans="1:22" ht="15.7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72"/>
      <c r="N175" s="2"/>
      <c r="O175" s="2"/>
      <c r="P175" s="2"/>
      <c r="Q175" s="2"/>
      <c r="R175" s="2"/>
      <c r="S175" s="2"/>
      <c r="T175" s="2"/>
      <c r="U175" s="2"/>
      <c r="V175" s="2"/>
    </row>
    <row r="176" spans="1:22" ht="15.7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72"/>
      <c r="N176" s="2"/>
      <c r="O176" s="2"/>
      <c r="P176" s="2"/>
      <c r="Q176" s="2"/>
      <c r="R176" s="2"/>
      <c r="S176" s="2"/>
      <c r="T176" s="2"/>
      <c r="U176" s="2"/>
      <c r="V176" s="2"/>
    </row>
    <row r="177" spans="1:22" ht="15.7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72"/>
      <c r="N177" s="2"/>
      <c r="O177" s="2"/>
      <c r="P177" s="2"/>
      <c r="Q177" s="2"/>
      <c r="R177" s="2"/>
      <c r="S177" s="2"/>
      <c r="T177" s="2"/>
      <c r="U177" s="2"/>
      <c r="V177" s="2"/>
    </row>
    <row r="178" spans="1:22" ht="15.7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72"/>
      <c r="N178" s="2"/>
      <c r="O178" s="2"/>
      <c r="P178" s="2"/>
      <c r="Q178" s="2"/>
      <c r="R178" s="2"/>
      <c r="S178" s="2"/>
      <c r="T178" s="2"/>
      <c r="U178" s="2"/>
      <c r="V178" s="2"/>
    </row>
    <row r="179" spans="1:22" ht="15.7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72"/>
      <c r="N179" s="2"/>
      <c r="O179" s="2"/>
      <c r="P179" s="2"/>
      <c r="Q179" s="2"/>
      <c r="R179" s="2"/>
      <c r="S179" s="2"/>
      <c r="T179" s="2"/>
      <c r="U179" s="2"/>
      <c r="V179" s="2"/>
    </row>
    <row r="180" spans="1:22" ht="15.7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72"/>
      <c r="N180" s="2"/>
      <c r="O180" s="2"/>
      <c r="P180" s="2"/>
      <c r="Q180" s="2"/>
      <c r="R180" s="2"/>
      <c r="S180" s="2"/>
      <c r="T180" s="2"/>
      <c r="U180" s="2"/>
      <c r="V180" s="2"/>
    </row>
    <row r="181" spans="1:22" ht="15.7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72"/>
      <c r="N181" s="2"/>
      <c r="O181" s="2"/>
      <c r="P181" s="2"/>
      <c r="Q181" s="2"/>
      <c r="R181" s="2"/>
      <c r="S181" s="2"/>
      <c r="T181" s="2"/>
      <c r="U181" s="2"/>
      <c r="V181" s="2"/>
    </row>
    <row r="182" spans="1:22" ht="15.7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72"/>
      <c r="N182" s="2"/>
      <c r="O182" s="2"/>
      <c r="P182" s="2"/>
      <c r="Q182" s="2"/>
      <c r="R182" s="2"/>
      <c r="S182" s="2"/>
      <c r="T182" s="2"/>
      <c r="U182" s="2"/>
      <c r="V182" s="2"/>
    </row>
    <row r="183" spans="1:22" ht="15.7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72"/>
      <c r="N183" s="2"/>
      <c r="O183" s="2"/>
      <c r="P183" s="2"/>
      <c r="Q183" s="2"/>
      <c r="R183" s="2"/>
      <c r="S183" s="2"/>
      <c r="T183" s="2"/>
      <c r="U183" s="2"/>
      <c r="V183" s="2"/>
    </row>
    <row r="184" spans="1:22" ht="15.7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72"/>
      <c r="N184" s="2"/>
      <c r="O184" s="2"/>
      <c r="P184" s="2"/>
      <c r="Q184" s="2"/>
      <c r="R184" s="2"/>
      <c r="S184" s="2"/>
      <c r="T184" s="2"/>
      <c r="U184" s="2"/>
      <c r="V184" s="2"/>
    </row>
    <row r="185" spans="1:22" ht="15.7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72"/>
      <c r="N185" s="2"/>
      <c r="O185" s="2"/>
      <c r="P185" s="2"/>
      <c r="Q185" s="2"/>
      <c r="R185" s="2"/>
      <c r="S185" s="2"/>
      <c r="T185" s="2"/>
      <c r="U185" s="2"/>
      <c r="V185" s="2"/>
    </row>
    <row r="186" spans="1:22" ht="15.7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72"/>
      <c r="N186" s="2"/>
      <c r="O186" s="2"/>
      <c r="P186" s="2"/>
      <c r="Q186" s="2"/>
      <c r="R186" s="2"/>
      <c r="S186" s="2"/>
      <c r="T186" s="2"/>
      <c r="U186" s="2"/>
      <c r="V186" s="2"/>
    </row>
    <row r="187" spans="1:22" ht="15.7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72"/>
      <c r="N187" s="2"/>
      <c r="O187" s="2"/>
      <c r="P187" s="2"/>
      <c r="Q187" s="2"/>
      <c r="R187" s="2"/>
      <c r="S187" s="2"/>
      <c r="T187" s="2"/>
      <c r="U187" s="2"/>
      <c r="V187" s="2"/>
    </row>
    <row r="188" spans="1:22" ht="15.7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72"/>
      <c r="N188" s="2"/>
      <c r="O188" s="2"/>
      <c r="P188" s="2"/>
      <c r="Q188" s="2"/>
      <c r="R188" s="2"/>
      <c r="S188" s="2"/>
      <c r="T188" s="2"/>
      <c r="U188" s="2"/>
      <c r="V188" s="2"/>
    </row>
    <row r="189" spans="1:22" ht="15.7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72"/>
      <c r="N189" s="2"/>
      <c r="O189" s="2"/>
      <c r="P189" s="2"/>
      <c r="Q189" s="2"/>
      <c r="R189" s="2"/>
      <c r="S189" s="2"/>
      <c r="T189" s="2"/>
      <c r="U189" s="2"/>
      <c r="V189" s="2"/>
    </row>
    <row r="190" spans="1:22" ht="15.7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72"/>
      <c r="N190" s="2"/>
      <c r="O190" s="2"/>
      <c r="P190" s="2"/>
      <c r="Q190" s="2"/>
      <c r="R190" s="2"/>
      <c r="S190" s="2"/>
      <c r="T190" s="2"/>
      <c r="U190" s="2"/>
      <c r="V190" s="2"/>
    </row>
    <row r="191" spans="1:22" ht="15.7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72"/>
      <c r="N191" s="2"/>
      <c r="O191" s="2"/>
      <c r="P191" s="2"/>
      <c r="Q191" s="2"/>
      <c r="R191" s="2"/>
      <c r="S191" s="2"/>
      <c r="T191" s="2"/>
      <c r="U191" s="2"/>
      <c r="V191" s="2"/>
    </row>
    <row r="192" spans="1:22" ht="15.7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72"/>
      <c r="N192" s="2"/>
      <c r="O192" s="2"/>
      <c r="P192" s="2"/>
      <c r="Q192" s="2"/>
      <c r="R192" s="2"/>
      <c r="S192" s="2"/>
      <c r="T192" s="2"/>
      <c r="U192" s="2"/>
      <c r="V192" s="2"/>
    </row>
    <row r="193" spans="1:22" ht="15.7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72"/>
      <c r="N193" s="2"/>
      <c r="O193" s="2"/>
      <c r="P193" s="2"/>
      <c r="Q193" s="2"/>
      <c r="R193" s="2"/>
      <c r="S193" s="2"/>
      <c r="T193" s="2"/>
      <c r="U193" s="2"/>
      <c r="V193" s="2"/>
    </row>
    <row r="194" spans="1:22" ht="15.7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72"/>
      <c r="N194" s="2"/>
      <c r="O194" s="2"/>
      <c r="P194" s="2"/>
      <c r="Q194" s="2"/>
      <c r="R194" s="2"/>
      <c r="S194" s="2"/>
      <c r="T194" s="2"/>
      <c r="U194" s="2"/>
      <c r="V194" s="2"/>
    </row>
    <row r="195" spans="1:22" ht="15.7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72"/>
      <c r="N195" s="2"/>
      <c r="O195" s="2"/>
      <c r="P195" s="2"/>
      <c r="Q195" s="2"/>
      <c r="R195" s="2"/>
      <c r="S195" s="2"/>
      <c r="T195" s="2"/>
      <c r="U195" s="2"/>
      <c r="V195" s="2"/>
    </row>
    <row r="196" spans="1:22" ht="15.7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72"/>
      <c r="N196" s="2"/>
      <c r="O196" s="2"/>
      <c r="P196" s="2"/>
      <c r="Q196" s="2"/>
      <c r="R196" s="2"/>
      <c r="S196" s="2"/>
      <c r="T196" s="2"/>
      <c r="U196" s="2"/>
      <c r="V196" s="2"/>
    </row>
    <row r="197" spans="1:22" ht="15.7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72"/>
      <c r="N197" s="2"/>
      <c r="O197" s="2"/>
      <c r="P197" s="2"/>
      <c r="Q197" s="2"/>
      <c r="R197" s="2"/>
      <c r="S197" s="2"/>
      <c r="T197" s="2"/>
      <c r="U197" s="2"/>
      <c r="V197" s="2"/>
    </row>
    <row r="198" spans="1:22" ht="15.7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72"/>
      <c r="N198" s="2"/>
      <c r="O198" s="2"/>
      <c r="P198" s="2"/>
      <c r="Q198" s="2"/>
      <c r="R198" s="2"/>
      <c r="S198" s="2"/>
      <c r="T198" s="2"/>
      <c r="U198" s="2"/>
      <c r="V198" s="2"/>
    </row>
    <row r="199" spans="1:22" ht="15.7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72"/>
      <c r="N199" s="2"/>
      <c r="O199" s="2"/>
      <c r="P199" s="2"/>
      <c r="Q199" s="2"/>
      <c r="R199" s="2"/>
      <c r="S199" s="2"/>
      <c r="T199" s="2"/>
      <c r="U199" s="2"/>
      <c r="V199" s="2"/>
    </row>
    <row r="200" spans="1:22" ht="15.7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72"/>
      <c r="N200" s="2"/>
      <c r="O200" s="2"/>
      <c r="P200" s="2"/>
      <c r="Q200" s="2"/>
      <c r="R200" s="2"/>
      <c r="S200" s="2"/>
      <c r="T200" s="2"/>
      <c r="U200" s="2"/>
      <c r="V200" s="2"/>
    </row>
    <row r="201" spans="1:22" ht="15.7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72"/>
      <c r="N201" s="2"/>
      <c r="O201" s="2"/>
      <c r="P201" s="2"/>
      <c r="Q201" s="2"/>
      <c r="R201" s="2"/>
      <c r="S201" s="2"/>
      <c r="T201" s="2"/>
      <c r="U201" s="2"/>
      <c r="V201" s="2"/>
    </row>
    <row r="202" spans="1:22" ht="15.7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72"/>
      <c r="N202" s="2"/>
      <c r="O202" s="2"/>
      <c r="P202" s="2"/>
      <c r="Q202" s="2"/>
      <c r="R202" s="2"/>
      <c r="S202" s="2"/>
      <c r="T202" s="2"/>
      <c r="U202" s="2"/>
      <c r="V202" s="2"/>
    </row>
    <row r="203" spans="1:22" ht="15.7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72"/>
      <c r="N203" s="2"/>
      <c r="O203" s="2"/>
      <c r="P203" s="2"/>
      <c r="Q203" s="2"/>
      <c r="R203" s="2"/>
      <c r="S203" s="2"/>
      <c r="T203" s="2"/>
      <c r="U203" s="2"/>
      <c r="V203" s="2"/>
    </row>
    <row r="204" spans="1:22" ht="15.7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72"/>
      <c r="N204" s="2"/>
      <c r="O204" s="2"/>
      <c r="P204" s="2"/>
      <c r="Q204" s="2"/>
      <c r="R204" s="2"/>
      <c r="S204" s="2"/>
      <c r="T204" s="2"/>
      <c r="U204" s="2"/>
      <c r="V204" s="2"/>
    </row>
    <row r="205" spans="1:22" ht="15.7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72"/>
      <c r="N205" s="2"/>
      <c r="O205" s="2"/>
      <c r="P205" s="2"/>
      <c r="Q205" s="2"/>
      <c r="R205" s="2"/>
      <c r="S205" s="2"/>
      <c r="T205" s="2"/>
      <c r="U205" s="2"/>
      <c r="V205" s="2"/>
    </row>
    <row r="206" spans="1:22" ht="15.7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72"/>
      <c r="N206" s="2"/>
      <c r="O206" s="2"/>
      <c r="P206" s="2"/>
      <c r="Q206" s="2"/>
      <c r="R206" s="2"/>
      <c r="S206" s="2"/>
      <c r="T206" s="2"/>
      <c r="U206" s="2"/>
      <c r="V206" s="2"/>
    </row>
    <row r="207" spans="1:22" ht="15.7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72"/>
      <c r="N207" s="2"/>
      <c r="O207" s="2"/>
      <c r="P207" s="2"/>
      <c r="Q207" s="2"/>
      <c r="R207" s="2"/>
      <c r="S207" s="2"/>
      <c r="T207" s="2"/>
      <c r="U207" s="2"/>
      <c r="V207" s="2"/>
    </row>
    <row r="208" spans="1:22" ht="15.7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72"/>
      <c r="N208" s="2"/>
      <c r="O208" s="2"/>
      <c r="P208" s="2"/>
      <c r="Q208" s="2"/>
      <c r="R208" s="2"/>
      <c r="S208" s="2"/>
      <c r="T208" s="2"/>
      <c r="U208" s="2"/>
      <c r="V208" s="2"/>
    </row>
    <row r="209" spans="1:22" ht="15.7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72"/>
      <c r="N209" s="2"/>
      <c r="O209" s="2"/>
      <c r="P209" s="2"/>
      <c r="Q209" s="2"/>
      <c r="R209" s="2"/>
      <c r="S209" s="2"/>
      <c r="T209" s="2"/>
      <c r="U209" s="2"/>
      <c r="V209" s="2"/>
    </row>
    <row r="210" spans="1:22" ht="15.7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72"/>
      <c r="N210" s="2"/>
      <c r="O210" s="2"/>
      <c r="P210" s="2"/>
      <c r="Q210" s="2"/>
      <c r="R210" s="2"/>
      <c r="S210" s="2"/>
      <c r="T210" s="2"/>
      <c r="U210" s="2"/>
      <c r="V210" s="2"/>
    </row>
    <row r="211" spans="1:22" ht="15.7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72"/>
      <c r="N211" s="2"/>
      <c r="O211" s="2"/>
      <c r="P211" s="2"/>
      <c r="Q211" s="2"/>
      <c r="R211" s="2"/>
      <c r="S211" s="2"/>
      <c r="T211" s="2"/>
      <c r="U211" s="2"/>
      <c r="V211" s="2"/>
    </row>
    <row r="212" spans="1:22" ht="15.7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72"/>
      <c r="N212" s="2"/>
      <c r="O212" s="2"/>
      <c r="P212" s="2"/>
      <c r="Q212" s="2"/>
      <c r="R212" s="2"/>
      <c r="S212" s="2"/>
      <c r="T212" s="2"/>
      <c r="U212" s="2"/>
      <c r="V212" s="2"/>
    </row>
    <row r="213" spans="1:22" ht="15.7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72"/>
      <c r="N213" s="2"/>
      <c r="O213" s="2"/>
      <c r="P213" s="2"/>
      <c r="Q213" s="2"/>
      <c r="R213" s="2"/>
      <c r="S213" s="2"/>
      <c r="T213" s="2"/>
      <c r="U213" s="2"/>
      <c r="V213" s="2"/>
    </row>
    <row r="214" spans="1:22" ht="15.7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72"/>
      <c r="N214" s="2"/>
      <c r="O214" s="2"/>
      <c r="P214" s="2"/>
      <c r="Q214" s="2"/>
      <c r="R214" s="2"/>
      <c r="S214" s="2"/>
      <c r="T214" s="2"/>
      <c r="U214" s="2"/>
      <c r="V214" s="2"/>
    </row>
    <row r="215" spans="1:22" ht="15.7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72"/>
      <c r="N215" s="2"/>
      <c r="O215" s="2"/>
      <c r="P215" s="2"/>
      <c r="Q215" s="2"/>
      <c r="R215" s="2"/>
      <c r="S215" s="2"/>
      <c r="T215" s="2"/>
      <c r="U215" s="2"/>
      <c r="V215" s="2"/>
    </row>
    <row r="216" spans="1:22" ht="15.7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72"/>
      <c r="N216" s="2"/>
      <c r="O216" s="2"/>
      <c r="P216" s="2"/>
      <c r="Q216" s="2"/>
      <c r="R216" s="2"/>
      <c r="S216" s="2"/>
      <c r="T216" s="2"/>
      <c r="U216" s="2"/>
      <c r="V216" s="2"/>
    </row>
    <row r="217" spans="1:22" ht="15.7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72"/>
      <c r="N217" s="2"/>
      <c r="O217" s="2"/>
      <c r="P217" s="2"/>
      <c r="Q217" s="2"/>
      <c r="R217" s="2"/>
      <c r="S217" s="2"/>
      <c r="T217" s="2"/>
      <c r="U217" s="2"/>
      <c r="V217" s="2"/>
    </row>
    <row r="218" spans="1:22" ht="15.7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72"/>
      <c r="N218" s="2"/>
      <c r="O218" s="2"/>
      <c r="P218" s="2"/>
      <c r="Q218" s="2"/>
      <c r="R218" s="2"/>
      <c r="S218" s="2"/>
      <c r="T218" s="2"/>
      <c r="U218" s="2"/>
      <c r="V218" s="2"/>
    </row>
    <row r="219" spans="1:22" ht="15.7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72"/>
      <c r="N219" s="2"/>
      <c r="O219" s="2"/>
      <c r="P219" s="2"/>
      <c r="Q219" s="2"/>
      <c r="R219" s="2"/>
      <c r="S219" s="2"/>
      <c r="T219" s="2"/>
      <c r="U219" s="2"/>
      <c r="V219" s="2"/>
    </row>
    <row r="220" spans="1:22" ht="15.7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72"/>
      <c r="N220" s="2"/>
      <c r="O220" s="2"/>
      <c r="P220" s="2"/>
      <c r="Q220" s="2"/>
      <c r="R220" s="2"/>
      <c r="S220" s="2"/>
      <c r="T220" s="2"/>
      <c r="U220" s="2"/>
      <c r="V220" s="2"/>
    </row>
    <row r="221" spans="1:22" ht="15.7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72"/>
      <c r="N221" s="2"/>
      <c r="O221" s="2"/>
      <c r="P221" s="2"/>
      <c r="Q221" s="2"/>
      <c r="R221" s="2"/>
      <c r="S221" s="2"/>
      <c r="T221" s="2"/>
      <c r="U221" s="2"/>
      <c r="V221" s="2"/>
    </row>
    <row r="222" spans="1:22" ht="15.7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72"/>
      <c r="N222" s="2"/>
      <c r="O222" s="2"/>
      <c r="P222" s="2"/>
      <c r="Q222" s="2"/>
      <c r="R222" s="2"/>
      <c r="S222" s="2"/>
      <c r="T222" s="2"/>
      <c r="U222" s="2"/>
      <c r="V222" s="2"/>
    </row>
    <row r="223" spans="1:22" ht="15.7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72"/>
      <c r="N223" s="2"/>
      <c r="O223" s="2"/>
      <c r="P223" s="2"/>
      <c r="Q223" s="2"/>
      <c r="R223" s="2"/>
      <c r="S223" s="2"/>
      <c r="T223" s="2"/>
      <c r="U223" s="2"/>
      <c r="V223" s="2"/>
    </row>
    <row r="224" spans="1:22" ht="15.7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72"/>
      <c r="N224" s="2"/>
      <c r="O224" s="2"/>
      <c r="P224" s="2"/>
      <c r="Q224" s="2"/>
      <c r="R224" s="2"/>
      <c r="S224" s="2"/>
      <c r="T224" s="2"/>
      <c r="U224" s="2"/>
      <c r="V224" s="2"/>
    </row>
    <row r="225" spans="1:22" ht="15.7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72"/>
      <c r="N225" s="2"/>
      <c r="O225" s="2"/>
      <c r="P225" s="2"/>
      <c r="Q225" s="2"/>
      <c r="R225" s="2"/>
      <c r="S225" s="2"/>
      <c r="T225" s="2"/>
      <c r="U225" s="2"/>
      <c r="V225" s="2"/>
    </row>
    <row r="226" spans="1:22" ht="15.7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72"/>
      <c r="N226" s="2"/>
      <c r="O226" s="2"/>
      <c r="P226" s="2"/>
      <c r="Q226" s="2"/>
      <c r="R226" s="2"/>
      <c r="S226" s="2"/>
      <c r="T226" s="2"/>
      <c r="U226" s="2"/>
      <c r="V226" s="2"/>
    </row>
    <row r="227" spans="1:22" ht="15.7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72"/>
      <c r="N227" s="2"/>
      <c r="O227" s="2"/>
      <c r="P227" s="2"/>
      <c r="Q227" s="2"/>
      <c r="R227" s="2"/>
      <c r="S227" s="2"/>
      <c r="T227" s="2"/>
      <c r="U227" s="2"/>
      <c r="V227" s="2"/>
    </row>
    <row r="228" spans="1:22" ht="15.7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72"/>
      <c r="N228" s="2"/>
      <c r="O228" s="2"/>
      <c r="P228" s="2"/>
      <c r="Q228" s="2"/>
      <c r="R228" s="2"/>
      <c r="S228" s="2"/>
      <c r="T228" s="2"/>
      <c r="U228" s="2"/>
      <c r="V228" s="2"/>
    </row>
    <row r="229" spans="1:22" ht="15.7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72"/>
      <c r="N229" s="2"/>
      <c r="O229" s="2"/>
      <c r="P229" s="2"/>
      <c r="Q229" s="2"/>
      <c r="R229" s="2"/>
      <c r="S229" s="2"/>
      <c r="T229" s="2"/>
      <c r="U229" s="2"/>
      <c r="V229" s="2"/>
    </row>
    <row r="230" spans="1:22" ht="15.7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72"/>
      <c r="N230" s="2"/>
      <c r="O230" s="2"/>
      <c r="P230" s="2"/>
      <c r="Q230" s="2"/>
      <c r="R230" s="2"/>
      <c r="S230" s="2"/>
      <c r="T230" s="2"/>
      <c r="U230" s="2"/>
      <c r="V230" s="2"/>
    </row>
    <row r="231" spans="1:22" ht="15.7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72"/>
      <c r="N231" s="2"/>
      <c r="O231" s="2"/>
      <c r="P231" s="2"/>
      <c r="Q231" s="2"/>
      <c r="R231" s="2"/>
      <c r="S231" s="2"/>
      <c r="T231" s="2"/>
      <c r="U231" s="2"/>
      <c r="V231" s="2"/>
    </row>
    <row r="232" spans="1:22" ht="15.7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72"/>
      <c r="N232" s="2"/>
      <c r="O232" s="2"/>
      <c r="P232" s="2"/>
      <c r="Q232" s="2"/>
      <c r="R232" s="2"/>
      <c r="S232" s="2"/>
      <c r="T232" s="2"/>
      <c r="U232" s="2"/>
      <c r="V232" s="2"/>
    </row>
    <row r="233" spans="1:22" ht="15.7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72"/>
      <c r="N233" s="2"/>
      <c r="O233" s="2"/>
      <c r="P233" s="2"/>
      <c r="Q233" s="2"/>
      <c r="R233" s="2"/>
      <c r="S233" s="2"/>
      <c r="T233" s="2"/>
      <c r="U233" s="2"/>
      <c r="V233" s="2"/>
    </row>
    <row r="234" spans="1:22" ht="15.7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72"/>
      <c r="N234" s="2"/>
      <c r="O234" s="2"/>
      <c r="P234" s="2"/>
      <c r="Q234" s="2"/>
      <c r="R234" s="2"/>
      <c r="S234" s="2"/>
      <c r="T234" s="2"/>
      <c r="U234" s="2"/>
      <c r="V234" s="2"/>
    </row>
    <row r="235" spans="1:22" ht="15.7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72"/>
      <c r="N235" s="2"/>
      <c r="O235" s="2"/>
      <c r="P235" s="2"/>
      <c r="Q235" s="2"/>
      <c r="R235" s="2"/>
      <c r="S235" s="2"/>
      <c r="T235" s="2"/>
      <c r="U235" s="2"/>
      <c r="V235" s="2"/>
    </row>
    <row r="236" spans="1:22" ht="15.7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72"/>
      <c r="N236" s="2"/>
      <c r="O236" s="2"/>
      <c r="P236" s="2"/>
      <c r="Q236" s="2"/>
      <c r="R236" s="2"/>
      <c r="S236" s="2"/>
      <c r="T236" s="2"/>
      <c r="U236" s="2"/>
      <c r="V236" s="2"/>
    </row>
    <row r="237" spans="1:22" ht="15.7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72"/>
      <c r="N237" s="2"/>
      <c r="O237" s="2"/>
      <c r="P237" s="2"/>
      <c r="Q237" s="2"/>
      <c r="R237" s="2"/>
      <c r="S237" s="2"/>
      <c r="T237" s="2"/>
      <c r="U237" s="2"/>
      <c r="V237" s="2"/>
    </row>
    <row r="238" spans="1:22" ht="15.7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72"/>
      <c r="N238" s="2"/>
      <c r="O238" s="2"/>
      <c r="P238" s="2"/>
      <c r="Q238" s="2"/>
      <c r="R238" s="2"/>
      <c r="S238" s="2"/>
      <c r="T238" s="2"/>
      <c r="U238" s="2"/>
      <c r="V238" s="2"/>
    </row>
    <row r="239" spans="1:22" ht="15.7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72"/>
      <c r="N239" s="2"/>
      <c r="O239" s="2"/>
      <c r="P239" s="2"/>
      <c r="Q239" s="2"/>
      <c r="R239" s="2"/>
      <c r="S239" s="2"/>
      <c r="T239" s="2"/>
      <c r="U239" s="2"/>
      <c r="V239" s="2"/>
    </row>
    <row r="240" spans="1:22" ht="15.7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72"/>
      <c r="N240" s="2"/>
      <c r="O240" s="2"/>
      <c r="P240" s="2"/>
      <c r="Q240" s="2"/>
      <c r="R240" s="2"/>
      <c r="S240" s="2"/>
      <c r="T240" s="2"/>
      <c r="U240" s="2"/>
      <c r="V240" s="2"/>
    </row>
    <row r="241" spans="1:22" ht="15.7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72"/>
      <c r="N241" s="2"/>
      <c r="O241" s="2"/>
      <c r="P241" s="2"/>
      <c r="Q241" s="2"/>
      <c r="R241" s="2"/>
      <c r="S241" s="2"/>
      <c r="T241" s="2"/>
      <c r="U241" s="2"/>
      <c r="V241" s="2"/>
    </row>
    <row r="242" spans="1:22" ht="15.7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72"/>
      <c r="N242" s="2"/>
      <c r="O242" s="2"/>
      <c r="P242" s="2"/>
      <c r="Q242" s="2"/>
      <c r="R242" s="2"/>
      <c r="S242" s="2"/>
      <c r="T242" s="2"/>
      <c r="U242" s="2"/>
      <c r="V242" s="2"/>
    </row>
    <row r="243" spans="1:22" ht="15.7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72"/>
      <c r="N243" s="2"/>
      <c r="O243" s="2"/>
      <c r="P243" s="2"/>
      <c r="Q243" s="2"/>
      <c r="R243" s="2"/>
      <c r="S243" s="2"/>
      <c r="T243" s="2"/>
      <c r="U243" s="2"/>
      <c r="V243" s="2"/>
    </row>
    <row r="244" spans="1:22" ht="15.7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72"/>
      <c r="N244" s="2"/>
      <c r="O244" s="2"/>
      <c r="P244" s="2"/>
      <c r="Q244" s="2"/>
      <c r="R244" s="2"/>
      <c r="S244" s="2"/>
      <c r="T244" s="2"/>
      <c r="U244" s="2"/>
      <c r="V244" s="2"/>
    </row>
    <row r="245" spans="1:22" ht="15.7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72"/>
      <c r="N245" s="2"/>
      <c r="O245" s="2"/>
      <c r="P245" s="2"/>
      <c r="Q245" s="2"/>
      <c r="R245" s="2"/>
      <c r="S245" s="2"/>
      <c r="T245" s="2"/>
      <c r="U245" s="2"/>
      <c r="V245" s="2"/>
    </row>
    <row r="246" spans="1:22" ht="15.7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72"/>
      <c r="N246" s="2"/>
      <c r="O246" s="2"/>
      <c r="P246" s="2"/>
      <c r="Q246" s="2"/>
      <c r="R246" s="2"/>
      <c r="S246" s="2"/>
      <c r="T246" s="2"/>
      <c r="U246" s="2"/>
      <c r="V246" s="2"/>
    </row>
    <row r="247" spans="1:22" ht="15.7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72"/>
      <c r="N247" s="2"/>
      <c r="O247" s="2"/>
      <c r="P247" s="2"/>
      <c r="Q247" s="2"/>
      <c r="R247" s="2"/>
      <c r="S247" s="2"/>
      <c r="T247" s="2"/>
      <c r="U247" s="2"/>
      <c r="V247" s="2"/>
    </row>
    <row r="248" spans="1:22" ht="15.7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72"/>
      <c r="N248" s="2"/>
      <c r="O248" s="2"/>
      <c r="P248" s="2"/>
      <c r="Q248" s="2"/>
      <c r="R248" s="2"/>
      <c r="S248" s="2"/>
      <c r="T248" s="2"/>
      <c r="U248" s="2"/>
      <c r="V248" s="2"/>
    </row>
    <row r="249" spans="1:22" ht="15.7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72"/>
      <c r="N249" s="2"/>
      <c r="O249" s="2"/>
      <c r="P249" s="2"/>
      <c r="Q249" s="2"/>
      <c r="R249" s="2"/>
      <c r="S249" s="2"/>
      <c r="T249" s="2"/>
      <c r="U249" s="2"/>
      <c r="V249" s="2"/>
    </row>
    <row r="250" spans="1:22" ht="15.7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72"/>
      <c r="N250" s="2"/>
      <c r="O250" s="2"/>
      <c r="P250" s="2"/>
      <c r="Q250" s="2"/>
      <c r="R250" s="2"/>
      <c r="S250" s="2"/>
      <c r="T250" s="2"/>
      <c r="U250" s="2"/>
      <c r="V250" s="2"/>
    </row>
    <row r="251" spans="1:22" ht="15.7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72"/>
      <c r="N251" s="2"/>
      <c r="O251" s="2"/>
      <c r="P251" s="2"/>
      <c r="Q251" s="2"/>
      <c r="R251" s="2"/>
      <c r="S251" s="2"/>
      <c r="T251" s="2"/>
      <c r="U251" s="2"/>
      <c r="V251" s="2"/>
    </row>
    <row r="252" spans="1:22" ht="15.7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72"/>
      <c r="N252" s="2"/>
      <c r="O252" s="2"/>
      <c r="P252" s="2"/>
      <c r="Q252" s="2"/>
      <c r="R252" s="2"/>
      <c r="S252" s="2"/>
      <c r="T252" s="2"/>
      <c r="U252" s="2"/>
      <c r="V252" s="2"/>
    </row>
    <row r="253" spans="1:22" ht="15.7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72"/>
      <c r="N253" s="2"/>
      <c r="O253" s="2"/>
      <c r="P253" s="2"/>
      <c r="Q253" s="2"/>
      <c r="R253" s="2"/>
      <c r="S253" s="2"/>
      <c r="T253" s="2"/>
      <c r="U253" s="2"/>
      <c r="V253" s="2"/>
    </row>
    <row r="254" spans="1:22" ht="15.7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72"/>
      <c r="N254" s="2"/>
      <c r="O254" s="2"/>
      <c r="P254" s="2"/>
      <c r="Q254" s="2"/>
      <c r="R254" s="2"/>
      <c r="S254" s="2"/>
      <c r="T254" s="2"/>
      <c r="U254" s="2"/>
      <c r="V254" s="2"/>
    </row>
    <row r="255" spans="1:22" ht="15.7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72"/>
      <c r="N255" s="2"/>
      <c r="O255" s="2"/>
      <c r="P255" s="2"/>
      <c r="Q255" s="2"/>
      <c r="R255" s="2"/>
      <c r="S255" s="2"/>
      <c r="T255" s="2"/>
      <c r="U255" s="2"/>
      <c r="V255" s="2"/>
    </row>
    <row r="256" spans="1:22" ht="15.7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72"/>
      <c r="N256" s="2"/>
      <c r="O256" s="2"/>
      <c r="P256" s="2"/>
      <c r="Q256" s="2"/>
      <c r="R256" s="2"/>
      <c r="S256" s="2"/>
      <c r="T256" s="2"/>
      <c r="U256" s="2"/>
      <c r="V256" s="2"/>
    </row>
    <row r="257" spans="1:22" ht="15.7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72"/>
      <c r="N257" s="2"/>
      <c r="O257" s="2"/>
      <c r="P257" s="2"/>
      <c r="Q257" s="2"/>
      <c r="R257" s="2"/>
      <c r="S257" s="2"/>
      <c r="T257" s="2"/>
      <c r="U257" s="2"/>
      <c r="V257" s="2"/>
    </row>
    <row r="258" spans="1:22" ht="15.7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72"/>
      <c r="N258" s="2"/>
      <c r="O258" s="2"/>
      <c r="P258" s="2"/>
      <c r="Q258" s="2"/>
      <c r="R258" s="2"/>
      <c r="S258" s="2"/>
      <c r="T258" s="2"/>
      <c r="U258" s="2"/>
      <c r="V258" s="2"/>
    </row>
    <row r="259" spans="1:22" ht="15.7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72"/>
      <c r="N259" s="2"/>
      <c r="O259" s="2"/>
      <c r="P259" s="2"/>
      <c r="Q259" s="2"/>
      <c r="R259" s="2"/>
      <c r="S259" s="2"/>
      <c r="T259" s="2"/>
      <c r="U259" s="2"/>
      <c r="V259" s="2"/>
    </row>
    <row r="260" spans="1:22" ht="15.7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72"/>
      <c r="N260" s="2"/>
      <c r="O260" s="2"/>
      <c r="P260" s="2"/>
      <c r="Q260" s="2"/>
      <c r="R260" s="2"/>
      <c r="S260" s="2"/>
      <c r="T260" s="2"/>
      <c r="U260" s="2"/>
      <c r="V260" s="2"/>
    </row>
    <row r="261" spans="1:22" ht="15.7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72"/>
      <c r="N261" s="2"/>
      <c r="O261" s="2"/>
      <c r="P261" s="2"/>
      <c r="Q261" s="2"/>
      <c r="R261" s="2"/>
      <c r="S261" s="2"/>
      <c r="T261" s="2"/>
      <c r="U261" s="2"/>
      <c r="V261" s="2"/>
    </row>
    <row r="262" spans="1:22" ht="15.7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72"/>
      <c r="N262" s="2"/>
      <c r="O262" s="2"/>
      <c r="P262" s="2"/>
      <c r="Q262" s="2"/>
      <c r="R262" s="2"/>
      <c r="S262" s="2"/>
      <c r="T262" s="2"/>
      <c r="U262" s="2"/>
      <c r="V262" s="2"/>
    </row>
    <row r="263" spans="1:22" ht="15.7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72"/>
      <c r="N263" s="2"/>
      <c r="O263" s="2"/>
      <c r="P263" s="2"/>
      <c r="Q263" s="2"/>
      <c r="R263" s="2"/>
      <c r="S263" s="2"/>
      <c r="T263" s="2"/>
      <c r="U263" s="2"/>
      <c r="V263" s="2"/>
    </row>
    <row r="264" spans="1:22" ht="15.7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72"/>
      <c r="N264" s="2"/>
      <c r="O264" s="2"/>
      <c r="P264" s="2"/>
      <c r="Q264" s="2"/>
      <c r="R264" s="2"/>
      <c r="S264" s="2"/>
      <c r="T264" s="2"/>
      <c r="U264" s="2"/>
      <c r="V264" s="2"/>
    </row>
    <row r="265" spans="1:22" ht="15.7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72"/>
      <c r="N265" s="2"/>
      <c r="O265" s="2"/>
      <c r="P265" s="2"/>
      <c r="Q265" s="2"/>
      <c r="R265" s="2"/>
      <c r="S265" s="2"/>
      <c r="T265" s="2"/>
      <c r="U265" s="2"/>
      <c r="V265" s="2"/>
    </row>
    <row r="266" spans="1:22" ht="15.7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72"/>
      <c r="N266" s="2"/>
      <c r="O266" s="2"/>
      <c r="P266" s="2"/>
      <c r="Q266" s="2"/>
      <c r="R266" s="2"/>
      <c r="S266" s="2"/>
      <c r="T266" s="2"/>
      <c r="U266" s="2"/>
      <c r="V266" s="2"/>
    </row>
    <row r="267" spans="1:22" ht="15.7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72"/>
      <c r="N267" s="2"/>
      <c r="O267" s="2"/>
      <c r="P267" s="2"/>
      <c r="Q267" s="2"/>
      <c r="R267" s="2"/>
      <c r="S267" s="2"/>
      <c r="T267" s="2"/>
      <c r="U267" s="2"/>
      <c r="V267" s="2"/>
    </row>
    <row r="268" spans="1:22" ht="15.7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72"/>
      <c r="N268" s="2"/>
      <c r="O268" s="2"/>
      <c r="P268" s="2"/>
      <c r="Q268" s="2"/>
      <c r="R268" s="2"/>
      <c r="S268" s="2"/>
      <c r="T268" s="2"/>
      <c r="U268" s="2"/>
      <c r="V268" s="2"/>
    </row>
    <row r="269" spans="1:22" ht="15.7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72"/>
      <c r="N269" s="2"/>
      <c r="O269" s="2"/>
      <c r="P269" s="2"/>
      <c r="Q269" s="2"/>
      <c r="R269" s="2"/>
      <c r="S269" s="2"/>
      <c r="T269" s="2"/>
      <c r="U269" s="2"/>
      <c r="V269" s="2"/>
    </row>
    <row r="270" spans="1:22" ht="15.7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72"/>
      <c r="N270" s="2"/>
      <c r="O270" s="2"/>
      <c r="P270" s="2"/>
      <c r="Q270" s="2"/>
      <c r="R270" s="2"/>
      <c r="S270" s="2"/>
      <c r="T270" s="2"/>
      <c r="U270" s="2"/>
      <c r="V270" s="2"/>
    </row>
    <row r="271" spans="1:22" ht="15.7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72"/>
      <c r="N271" s="2"/>
      <c r="O271" s="2"/>
      <c r="P271" s="2"/>
      <c r="Q271" s="2"/>
      <c r="R271" s="2"/>
      <c r="S271" s="2"/>
      <c r="T271" s="2"/>
      <c r="U271" s="2"/>
      <c r="V271" s="2"/>
    </row>
    <row r="272" spans="1:22" ht="15.7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72"/>
      <c r="N272" s="2"/>
      <c r="O272" s="2"/>
      <c r="P272" s="2"/>
      <c r="Q272" s="2"/>
      <c r="R272" s="2"/>
      <c r="S272" s="2"/>
      <c r="T272" s="2"/>
      <c r="U272" s="2"/>
      <c r="V272" s="2"/>
    </row>
    <row r="273" spans="1:22" ht="15.7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72"/>
      <c r="N273" s="2"/>
      <c r="O273" s="2"/>
      <c r="P273" s="2"/>
      <c r="Q273" s="2"/>
      <c r="R273" s="2"/>
      <c r="S273" s="2"/>
      <c r="T273" s="2"/>
      <c r="U273" s="2"/>
      <c r="V273" s="2"/>
    </row>
    <row r="274" spans="1:22" ht="15.7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72"/>
      <c r="N274" s="2"/>
      <c r="O274" s="2"/>
      <c r="P274" s="2"/>
      <c r="Q274" s="2"/>
      <c r="R274" s="2"/>
      <c r="S274" s="2"/>
      <c r="T274" s="2"/>
      <c r="U274" s="2"/>
      <c r="V274" s="2"/>
    </row>
    <row r="275" spans="1:22" ht="15.7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72"/>
      <c r="N275" s="2"/>
      <c r="O275" s="2"/>
      <c r="P275" s="2"/>
      <c r="Q275" s="2"/>
      <c r="R275" s="2"/>
      <c r="S275" s="2"/>
      <c r="T275" s="2"/>
      <c r="U275" s="2"/>
      <c r="V275" s="2"/>
    </row>
    <row r="276" spans="1:22" ht="15.7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72"/>
      <c r="N276" s="2"/>
      <c r="O276" s="2"/>
      <c r="P276" s="2"/>
      <c r="Q276" s="2"/>
      <c r="R276" s="2"/>
      <c r="S276" s="2"/>
      <c r="T276" s="2"/>
      <c r="U276" s="2"/>
      <c r="V276" s="2"/>
    </row>
    <row r="277" spans="1:22" ht="15.7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72"/>
      <c r="N277" s="2"/>
      <c r="O277" s="2"/>
      <c r="P277" s="2"/>
      <c r="Q277" s="2"/>
      <c r="R277" s="2"/>
      <c r="S277" s="2"/>
      <c r="T277" s="2"/>
      <c r="U277" s="2"/>
      <c r="V277" s="2"/>
    </row>
    <row r="278" spans="1:22" ht="15.7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72"/>
      <c r="N278" s="2"/>
      <c r="O278" s="2"/>
      <c r="P278" s="2"/>
      <c r="Q278" s="2"/>
      <c r="R278" s="2"/>
      <c r="S278" s="2"/>
      <c r="T278" s="2"/>
      <c r="U278" s="2"/>
      <c r="V278" s="2"/>
    </row>
    <row r="279" spans="1:22" ht="15.7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72"/>
      <c r="N279" s="2"/>
      <c r="O279" s="2"/>
      <c r="P279" s="2"/>
      <c r="Q279" s="2"/>
      <c r="R279" s="2"/>
      <c r="S279" s="2"/>
      <c r="T279" s="2"/>
      <c r="U279" s="2"/>
      <c r="V279" s="2"/>
    </row>
    <row r="280" spans="1:22" ht="15.7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72"/>
      <c r="N280" s="2"/>
      <c r="O280" s="2"/>
      <c r="P280" s="2"/>
      <c r="Q280" s="2"/>
      <c r="R280" s="2"/>
      <c r="S280" s="2"/>
      <c r="T280" s="2"/>
      <c r="U280" s="2"/>
      <c r="V280" s="2"/>
    </row>
    <row r="281" spans="1:22" ht="15.7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72"/>
      <c r="N281" s="2"/>
      <c r="O281" s="2"/>
      <c r="P281" s="2"/>
      <c r="Q281" s="2"/>
      <c r="R281" s="2"/>
      <c r="S281" s="2"/>
      <c r="T281" s="2"/>
      <c r="U281" s="2"/>
      <c r="V281" s="2"/>
    </row>
    <row r="282" spans="1:22" ht="15.7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72"/>
      <c r="N282" s="2"/>
      <c r="O282" s="2"/>
      <c r="P282" s="2"/>
      <c r="Q282" s="2"/>
      <c r="R282" s="2"/>
      <c r="S282" s="2"/>
      <c r="T282" s="2"/>
      <c r="U282" s="2"/>
      <c r="V282" s="2"/>
    </row>
    <row r="283" spans="1:22" ht="15.7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72"/>
      <c r="N283" s="2"/>
      <c r="O283" s="2"/>
      <c r="P283" s="2"/>
      <c r="Q283" s="2"/>
      <c r="R283" s="2"/>
      <c r="S283" s="2"/>
      <c r="T283" s="2"/>
      <c r="U283" s="2"/>
      <c r="V283" s="2"/>
    </row>
    <row r="284" spans="1:22" ht="15.7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72"/>
      <c r="N284" s="2"/>
      <c r="O284" s="2"/>
      <c r="P284" s="2"/>
      <c r="Q284" s="2"/>
      <c r="R284" s="2"/>
      <c r="S284" s="2"/>
      <c r="T284" s="2"/>
      <c r="U284" s="2"/>
      <c r="V284" s="2"/>
    </row>
    <row r="285" spans="1:22" ht="15.7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72"/>
      <c r="N285" s="2"/>
      <c r="O285" s="2"/>
      <c r="P285" s="2"/>
      <c r="Q285" s="2"/>
      <c r="R285" s="2"/>
      <c r="S285" s="2"/>
      <c r="T285" s="2"/>
      <c r="U285" s="2"/>
      <c r="V285" s="2"/>
    </row>
    <row r="286" spans="1:22" ht="15.7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72"/>
      <c r="N286" s="2"/>
      <c r="O286" s="2"/>
      <c r="P286" s="2"/>
      <c r="Q286" s="2"/>
      <c r="R286" s="2"/>
      <c r="S286" s="2"/>
      <c r="T286" s="2"/>
      <c r="U286" s="2"/>
      <c r="V286" s="2"/>
    </row>
    <row r="287" spans="1:22" ht="15.7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72"/>
      <c r="N287" s="2"/>
      <c r="O287" s="2"/>
      <c r="P287" s="2"/>
      <c r="Q287" s="2"/>
      <c r="R287" s="2"/>
      <c r="S287" s="2"/>
      <c r="T287" s="2"/>
      <c r="U287" s="2"/>
      <c r="V287" s="2"/>
    </row>
    <row r="288" spans="1:22" ht="15.7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72"/>
      <c r="N288" s="2"/>
      <c r="O288" s="2"/>
      <c r="P288" s="2"/>
      <c r="Q288" s="2"/>
      <c r="R288" s="2"/>
      <c r="S288" s="2"/>
      <c r="T288" s="2"/>
      <c r="U288" s="2"/>
      <c r="V288" s="2"/>
    </row>
    <row r="289" spans="1:22" ht="15.7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72"/>
      <c r="N289" s="2"/>
      <c r="O289" s="2"/>
      <c r="P289" s="2"/>
      <c r="Q289" s="2"/>
      <c r="R289" s="2"/>
      <c r="S289" s="2"/>
      <c r="T289" s="2"/>
      <c r="U289" s="2"/>
      <c r="V289" s="2"/>
    </row>
    <row r="290" spans="1:22" ht="15.7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72"/>
      <c r="N290" s="2"/>
      <c r="O290" s="2"/>
      <c r="P290" s="2"/>
      <c r="Q290" s="2"/>
      <c r="R290" s="2"/>
      <c r="S290" s="2"/>
      <c r="T290" s="2"/>
      <c r="U290" s="2"/>
      <c r="V290" s="2"/>
    </row>
    <row r="291" spans="1:22" ht="15.7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72"/>
      <c r="N291" s="2"/>
      <c r="O291" s="2"/>
      <c r="P291" s="2"/>
      <c r="Q291" s="2"/>
      <c r="R291" s="2"/>
      <c r="S291" s="2"/>
      <c r="T291" s="2"/>
      <c r="U291" s="2"/>
      <c r="V291" s="2"/>
    </row>
    <row r="292" spans="1:22" ht="15.7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72"/>
      <c r="N292" s="2"/>
      <c r="O292" s="2"/>
      <c r="P292" s="2"/>
      <c r="Q292" s="2"/>
      <c r="R292" s="2"/>
      <c r="S292" s="2"/>
      <c r="T292" s="2"/>
      <c r="U292" s="2"/>
      <c r="V292" s="2"/>
    </row>
    <row r="293" spans="1:22" ht="15.7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72"/>
      <c r="N293" s="2"/>
      <c r="O293" s="2"/>
      <c r="P293" s="2"/>
      <c r="Q293" s="2"/>
      <c r="R293" s="2"/>
      <c r="S293" s="2"/>
      <c r="T293" s="2"/>
      <c r="U293" s="2"/>
      <c r="V293" s="2"/>
    </row>
    <row r="294" spans="1:22" ht="15.7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72"/>
      <c r="N294" s="2"/>
      <c r="O294" s="2"/>
      <c r="P294" s="2"/>
      <c r="Q294" s="2"/>
      <c r="R294" s="2"/>
      <c r="S294" s="2"/>
      <c r="T294" s="2"/>
      <c r="U294" s="2"/>
      <c r="V294" s="2"/>
    </row>
    <row r="295" spans="1:22" ht="15.7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72"/>
      <c r="N295" s="2"/>
      <c r="O295" s="2"/>
      <c r="P295" s="2"/>
      <c r="Q295" s="2"/>
      <c r="R295" s="2"/>
      <c r="S295" s="2"/>
      <c r="T295" s="2"/>
      <c r="U295" s="2"/>
      <c r="V295" s="2"/>
    </row>
    <row r="296" spans="1:22" ht="15.7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72"/>
      <c r="N296" s="2"/>
      <c r="O296" s="2"/>
      <c r="P296" s="2"/>
      <c r="Q296" s="2"/>
      <c r="R296" s="2"/>
      <c r="S296" s="2"/>
      <c r="T296" s="2"/>
      <c r="U296" s="2"/>
      <c r="V296" s="2"/>
    </row>
    <row r="297" spans="1:22" ht="15.7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72"/>
      <c r="N297" s="2"/>
      <c r="O297" s="2"/>
      <c r="P297" s="2"/>
      <c r="Q297" s="2"/>
      <c r="R297" s="2"/>
      <c r="S297" s="2"/>
      <c r="T297" s="2"/>
      <c r="U297" s="2"/>
      <c r="V297" s="2"/>
    </row>
    <row r="298" spans="1:22" ht="15.7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72"/>
      <c r="N298" s="2"/>
      <c r="O298" s="2"/>
      <c r="P298" s="2"/>
      <c r="Q298" s="2"/>
      <c r="R298" s="2"/>
      <c r="S298" s="2"/>
      <c r="T298" s="2"/>
      <c r="U298" s="2"/>
      <c r="V298" s="2"/>
    </row>
    <row r="299" spans="1:22" ht="15.7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72"/>
      <c r="N299" s="2"/>
      <c r="O299" s="2"/>
      <c r="P299" s="2"/>
      <c r="Q299" s="2"/>
      <c r="R299" s="2"/>
      <c r="S299" s="2"/>
      <c r="T299" s="2"/>
      <c r="U299" s="2"/>
      <c r="V299" s="2"/>
    </row>
    <row r="300" spans="1:22" ht="15.7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72"/>
      <c r="N300" s="2"/>
      <c r="O300" s="2"/>
      <c r="P300" s="2"/>
      <c r="Q300" s="2"/>
      <c r="R300" s="2"/>
      <c r="S300" s="2"/>
      <c r="T300" s="2"/>
      <c r="U300" s="2"/>
      <c r="V300" s="2"/>
    </row>
    <row r="301" spans="1:22" ht="15.7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72"/>
      <c r="N301" s="2"/>
      <c r="O301" s="2"/>
      <c r="P301" s="2"/>
      <c r="Q301" s="2"/>
      <c r="R301" s="2"/>
      <c r="S301" s="2"/>
      <c r="T301" s="2"/>
      <c r="U301" s="2"/>
      <c r="V301" s="2"/>
    </row>
    <row r="302" spans="1:22" ht="15.7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72"/>
      <c r="N302" s="2"/>
      <c r="O302" s="2"/>
      <c r="P302" s="2"/>
      <c r="Q302" s="2"/>
      <c r="R302" s="2"/>
      <c r="S302" s="2"/>
      <c r="T302" s="2"/>
      <c r="U302" s="2"/>
      <c r="V302" s="2"/>
    </row>
    <row r="303" spans="1:22" ht="15.7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72"/>
      <c r="N303" s="2"/>
      <c r="O303" s="2"/>
      <c r="P303" s="2"/>
      <c r="Q303" s="2"/>
      <c r="R303" s="2"/>
      <c r="S303" s="2"/>
      <c r="T303" s="2"/>
      <c r="U303" s="2"/>
      <c r="V303" s="2"/>
    </row>
    <row r="304" spans="1:22" ht="15.7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72"/>
      <c r="N304" s="2"/>
      <c r="O304" s="2"/>
      <c r="P304" s="2"/>
      <c r="Q304" s="2"/>
      <c r="R304" s="2"/>
      <c r="S304" s="2"/>
      <c r="T304" s="2"/>
      <c r="U304" s="2"/>
      <c r="V304" s="2"/>
    </row>
    <row r="305" spans="1:22" ht="15.7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72"/>
      <c r="N305" s="2"/>
      <c r="O305" s="2"/>
      <c r="P305" s="2"/>
      <c r="Q305" s="2"/>
      <c r="R305" s="2"/>
      <c r="S305" s="2"/>
      <c r="T305" s="2"/>
      <c r="U305" s="2"/>
      <c r="V305" s="2"/>
    </row>
    <row r="306" spans="1:22" ht="15.7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72"/>
      <c r="N306" s="2"/>
      <c r="O306" s="2"/>
      <c r="P306" s="2"/>
      <c r="Q306" s="2"/>
      <c r="R306" s="2"/>
      <c r="S306" s="2"/>
      <c r="T306" s="2"/>
      <c r="U306" s="2"/>
      <c r="V306" s="2"/>
    </row>
    <row r="307" spans="1:22" ht="15.7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72"/>
      <c r="N307" s="2"/>
      <c r="O307" s="2"/>
      <c r="P307" s="2"/>
      <c r="Q307" s="2"/>
      <c r="R307" s="2"/>
      <c r="S307" s="2"/>
      <c r="T307" s="2"/>
      <c r="U307" s="2"/>
      <c r="V307" s="2"/>
    </row>
    <row r="308" spans="1:22" ht="15.7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72"/>
      <c r="N308" s="2"/>
      <c r="O308" s="2"/>
      <c r="P308" s="2"/>
      <c r="Q308" s="2"/>
      <c r="R308" s="2"/>
      <c r="S308" s="2"/>
      <c r="T308" s="2"/>
      <c r="U308" s="2"/>
      <c r="V308" s="2"/>
    </row>
    <row r="309" spans="1:22" ht="15.7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72"/>
      <c r="N309" s="2"/>
      <c r="O309" s="2"/>
      <c r="P309" s="2"/>
      <c r="Q309" s="2"/>
      <c r="R309" s="2"/>
      <c r="S309" s="2"/>
      <c r="T309" s="2"/>
      <c r="U309" s="2"/>
      <c r="V309" s="2"/>
    </row>
    <row r="310" spans="1:22" ht="15.7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72"/>
      <c r="N310" s="2"/>
      <c r="O310" s="2"/>
      <c r="P310" s="2"/>
      <c r="Q310" s="2"/>
      <c r="R310" s="2"/>
      <c r="S310" s="2"/>
      <c r="T310" s="2"/>
      <c r="U310" s="2"/>
      <c r="V310" s="2"/>
    </row>
    <row r="311" spans="1:22" ht="15.7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72"/>
      <c r="N311" s="2"/>
      <c r="O311" s="2"/>
      <c r="P311" s="2"/>
      <c r="Q311" s="2"/>
      <c r="R311" s="2"/>
      <c r="S311" s="2"/>
      <c r="T311" s="2"/>
      <c r="U311" s="2"/>
      <c r="V311" s="2"/>
    </row>
    <row r="312" spans="1:22" ht="15.7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72"/>
      <c r="N312" s="2"/>
      <c r="O312" s="2"/>
      <c r="P312" s="2"/>
      <c r="Q312" s="2"/>
      <c r="R312" s="2"/>
      <c r="S312" s="2"/>
      <c r="T312" s="2"/>
      <c r="U312" s="2"/>
      <c r="V312" s="2"/>
    </row>
    <row r="313" spans="1:22" ht="15.7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72"/>
      <c r="N313" s="2"/>
      <c r="O313" s="2"/>
      <c r="P313" s="2"/>
      <c r="Q313" s="2"/>
      <c r="R313" s="2"/>
      <c r="S313" s="2"/>
      <c r="T313" s="2"/>
      <c r="U313" s="2"/>
      <c r="V313" s="2"/>
    </row>
    <row r="314" spans="1:22" ht="15.7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72"/>
      <c r="N314" s="2"/>
      <c r="O314" s="2"/>
      <c r="P314" s="2"/>
      <c r="Q314" s="2"/>
      <c r="R314" s="2"/>
      <c r="S314" s="2"/>
      <c r="T314" s="2"/>
      <c r="U314" s="2"/>
      <c r="V314" s="2"/>
    </row>
    <row r="315" spans="1:22" ht="15.7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72"/>
      <c r="N315" s="2"/>
      <c r="O315" s="2"/>
      <c r="P315" s="2"/>
      <c r="Q315" s="2"/>
      <c r="R315" s="2"/>
      <c r="S315" s="2"/>
      <c r="T315" s="2"/>
      <c r="U315" s="2"/>
      <c r="V315" s="2"/>
    </row>
    <row r="316" spans="1:22" ht="15.7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72"/>
      <c r="N316" s="2"/>
      <c r="O316" s="2"/>
      <c r="P316" s="2"/>
      <c r="Q316" s="2"/>
      <c r="R316" s="2"/>
      <c r="S316" s="2"/>
      <c r="T316" s="2"/>
      <c r="U316" s="2"/>
      <c r="V316" s="2"/>
    </row>
    <row r="317" spans="1:22" ht="15.7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72"/>
      <c r="N317" s="2"/>
      <c r="O317" s="2"/>
      <c r="P317" s="2"/>
      <c r="Q317" s="2"/>
      <c r="R317" s="2"/>
      <c r="S317" s="2"/>
      <c r="T317" s="2"/>
      <c r="U317" s="2"/>
      <c r="V317" s="2"/>
    </row>
    <row r="318" spans="1:22" ht="15.7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72"/>
      <c r="N318" s="2"/>
      <c r="O318" s="2"/>
      <c r="P318" s="2"/>
      <c r="Q318" s="2"/>
      <c r="R318" s="2"/>
      <c r="S318" s="2"/>
      <c r="T318" s="2"/>
      <c r="U318" s="2"/>
      <c r="V318" s="2"/>
    </row>
    <row r="319" spans="1:22" ht="15.7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72"/>
      <c r="N319" s="2"/>
      <c r="O319" s="2"/>
      <c r="P319" s="2"/>
      <c r="Q319" s="2"/>
      <c r="R319" s="2"/>
      <c r="S319" s="2"/>
      <c r="T319" s="2"/>
      <c r="U319" s="2"/>
      <c r="V319" s="2"/>
    </row>
    <row r="320" spans="1:22" ht="15.7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72"/>
      <c r="N320" s="2"/>
      <c r="O320" s="2"/>
      <c r="P320" s="2"/>
      <c r="Q320" s="2"/>
      <c r="R320" s="2"/>
      <c r="S320" s="2"/>
      <c r="T320" s="2"/>
      <c r="U320" s="2"/>
      <c r="V320" s="2"/>
    </row>
    <row r="321" spans="1:22" ht="15.7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72"/>
      <c r="N321" s="2"/>
      <c r="O321" s="2"/>
      <c r="P321" s="2"/>
      <c r="Q321" s="2"/>
      <c r="R321" s="2"/>
      <c r="S321" s="2"/>
      <c r="T321" s="2"/>
      <c r="U321" s="2"/>
      <c r="V321" s="2"/>
    </row>
    <row r="322" spans="1:22" ht="15.7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72"/>
      <c r="N322" s="2"/>
      <c r="O322" s="2"/>
      <c r="P322" s="2"/>
      <c r="Q322" s="2"/>
      <c r="R322" s="2"/>
      <c r="S322" s="2"/>
      <c r="T322" s="2"/>
      <c r="U322" s="2"/>
      <c r="V322" s="2"/>
    </row>
    <row r="323" spans="1:22" ht="15.7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72"/>
      <c r="N323" s="2"/>
      <c r="O323" s="2"/>
      <c r="P323" s="2"/>
      <c r="Q323" s="2"/>
      <c r="R323" s="2"/>
      <c r="S323" s="2"/>
      <c r="T323" s="2"/>
      <c r="U323" s="2"/>
      <c r="V323" s="2"/>
    </row>
    <row r="324" spans="1:22" ht="15.7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72"/>
      <c r="N324" s="2"/>
      <c r="O324" s="2"/>
      <c r="P324" s="2"/>
      <c r="Q324" s="2"/>
      <c r="R324" s="2"/>
      <c r="S324" s="2"/>
      <c r="T324" s="2"/>
      <c r="U324" s="2"/>
      <c r="V324" s="2"/>
    </row>
    <row r="325" spans="1:22" ht="15.7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72"/>
      <c r="N325" s="2"/>
      <c r="O325" s="2"/>
      <c r="P325" s="2"/>
      <c r="Q325" s="2"/>
      <c r="R325" s="2"/>
      <c r="S325" s="2"/>
      <c r="T325" s="2"/>
      <c r="U325" s="2"/>
      <c r="V325" s="2"/>
    </row>
    <row r="326" spans="1:22" ht="15.7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72"/>
      <c r="N326" s="2"/>
      <c r="O326" s="2"/>
      <c r="P326" s="2"/>
      <c r="Q326" s="2"/>
      <c r="R326" s="2"/>
      <c r="S326" s="2"/>
      <c r="T326" s="2"/>
      <c r="U326" s="2"/>
      <c r="V326" s="2"/>
    </row>
    <row r="327" spans="1:22" ht="15.7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72"/>
      <c r="N327" s="2"/>
      <c r="O327" s="2"/>
      <c r="P327" s="2"/>
      <c r="Q327" s="2"/>
      <c r="R327" s="2"/>
      <c r="S327" s="2"/>
      <c r="T327" s="2"/>
      <c r="U327" s="2"/>
      <c r="V327" s="2"/>
    </row>
    <row r="328" spans="1:22" ht="15.7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72"/>
      <c r="N328" s="2"/>
      <c r="O328" s="2"/>
      <c r="P328" s="2"/>
      <c r="Q328" s="2"/>
      <c r="R328" s="2"/>
      <c r="S328" s="2"/>
      <c r="T328" s="2"/>
      <c r="U328" s="2"/>
      <c r="V328" s="2"/>
    </row>
    <row r="329" spans="1:22" ht="15.7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72"/>
      <c r="N329" s="2"/>
      <c r="O329" s="2"/>
      <c r="P329" s="2"/>
      <c r="Q329" s="2"/>
      <c r="R329" s="2"/>
      <c r="S329" s="2"/>
      <c r="T329" s="2"/>
      <c r="U329" s="2"/>
      <c r="V329" s="2"/>
    </row>
    <row r="330" spans="1:22" ht="15.7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72"/>
      <c r="N330" s="2"/>
      <c r="O330" s="2"/>
      <c r="P330" s="2"/>
      <c r="Q330" s="2"/>
      <c r="R330" s="2"/>
      <c r="S330" s="2"/>
      <c r="T330" s="2"/>
      <c r="U330" s="2"/>
      <c r="V330" s="2"/>
    </row>
    <row r="331" spans="1:22" ht="15.7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72"/>
      <c r="N331" s="2"/>
      <c r="O331" s="2"/>
      <c r="P331" s="2"/>
      <c r="Q331" s="2"/>
      <c r="R331" s="2"/>
      <c r="S331" s="2"/>
      <c r="T331" s="2"/>
      <c r="U331" s="2"/>
      <c r="V331" s="2"/>
    </row>
    <row r="332" spans="1:22" ht="15.7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72"/>
      <c r="N332" s="2"/>
      <c r="O332" s="2"/>
      <c r="P332" s="2"/>
      <c r="Q332" s="2"/>
      <c r="R332" s="2"/>
      <c r="S332" s="2"/>
      <c r="T332" s="2"/>
      <c r="U332" s="2"/>
      <c r="V332" s="2"/>
    </row>
    <row r="333" spans="1:22" ht="15.7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72"/>
      <c r="N333" s="2"/>
      <c r="O333" s="2"/>
      <c r="P333" s="2"/>
      <c r="Q333" s="2"/>
      <c r="R333" s="2"/>
      <c r="S333" s="2"/>
      <c r="T333" s="2"/>
      <c r="U333" s="2"/>
      <c r="V333" s="2"/>
    </row>
    <row r="334" spans="1:22" ht="15.7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72"/>
      <c r="N334" s="2"/>
      <c r="O334" s="2"/>
      <c r="P334" s="2"/>
      <c r="Q334" s="2"/>
      <c r="R334" s="2"/>
      <c r="S334" s="2"/>
      <c r="T334" s="2"/>
      <c r="U334" s="2"/>
      <c r="V334" s="2"/>
    </row>
    <row r="335" spans="1:22" ht="15.7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72"/>
      <c r="N335" s="2"/>
      <c r="O335" s="2"/>
      <c r="P335" s="2"/>
      <c r="Q335" s="2"/>
      <c r="R335" s="2"/>
      <c r="S335" s="2"/>
      <c r="T335" s="2"/>
      <c r="U335" s="2"/>
      <c r="V335" s="2"/>
    </row>
    <row r="336" spans="1:22" ht="15.7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72"/>
      <c r="N336" s="2"/>
      <c r="O336" s="2"/>
      <c r="P336" s="2"/>
      <c r="Q336" s="2"/>
      <c r="R336" s="2"/>
      <c r="S336" s="2"/>
      <c r="T336" s="2"/>
      <c r="U336" s="2"/>
      <c r="V336" s="2"/>
    </row>
    <row r="337" spans="1:22" ht="15.7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72"/>
      <c r="N337" s="2"/>
      <c r="O337" s="2"/>
      <c r="P337" s="2"/>
      <c r="Q337" s="2"/>
      <c r="R337" s="2"/>
      <c r="S337" s="2"/>
      <c r="T337" s="2"/>
      <c r="U337" s="2"/>
      <c r="V337" s="2"/>
    </row>
    <row r="338" spans="1:22" ht="15.7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72"/>
      <c r="N338" s="2"/>
      <c r="O338" s="2"/>
      <c r="P338" s="2"/>
      <c r="Q338" s="2"/>
      <c r="R338" s="2"/>
      <c r="S338" s="2"/>
      <c r="T338" s="2"/>
      <c r="U338" s="2"/>
      <c r="V338" s="2"/>
    </row>
    <row r="339" spans="1:22" ht="15.7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72"/>
      <c r="N339" s="2"/>
      <c r="O339" s="2"/>
      <c r="P339" s="2"/>
      <c r="Q339" s="2"/>
      <c r="R339" s="2"/>
      <c r="S339" s="2"/>
      <c r="T339" s="2"/>
      <c r="U339" s="2"/>
      <c r="V339" s="2"/>
    </row>
    <row r="340" spans="1:22" ht="15.7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72"/>
      <c r="N340" s="2"/>
      <c r="O340" s="2"/>
      <c r="P340" s="2"/>
      <c r="Q340" s="2"/>
      <c r="R340" s="2"/>
      <c r="S340" s="2"/>
      <c r="T340" s="2"/>
      <c r="U340" s="2"/>
      <c r="V340" s="2"/>
    </row>
    <row r="341" spans="1:22" ht="15.7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72"/>
      <c r="N341" s="2"/>
      <c r="O341" s="2"/>
      <c r="P341" s="2"/>
      <c r="Q341" s="2"/>
      <c r="R341" s="2"/>
      <c r="S341" s="2"/>
      <c r="T341" s="2"/>
      <c r="U341" s="2"/>
      <c r="V341" s="2"/>
    </row>
    <row r="342" spans="1:22" ht="15.7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72"/>
      <c r="N342" s="2"/>
      <c r="O342" s="2"/>
      <c r="P342" s="2"/>
      <c r="Q342" s="2"/>
      <c r="R342" s="2"/>
      <c r="S342" s="2"/>
      <c r="T342" s="2"/>
      <c r="U342" s="2"/>
      <c r="V342" s="2"/>
    </row>
    <row r="343" spans="1:22" ht="15.7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72"/>
      <c r="N343" s="2"/>
      <c r="O343" s="2"/>
      <c r="P343" s="2"/>
      <c r="Q343" s="2"/>
      <c r="R343" s="2"/>
      <c r="S343" s="2"/>
      <c r="T343" s="2"/>
      <c r="U343" s="2"/>
      <c r="V343" s="2"/>
    </row>
    <row r="344" spans="1:22" ht="15.7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72"/>
      <c r="N344" s="2"/>
      <c r="O344" s="2"/>
      <c r="P344" s="2"/>
      <c r="Q344" s="2"/>
      <c r="R344" s="2"/>
      <c r="S344" s="2"/>
      <c r="T344" s="2"/>
      <c r="U344" s="2"/>
      <c r="V344" s="2"/>
    </row>
    <row r="345" spans="1:22" ht="15.7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72"/>
      <c r="N345" s="2"/>
      <c r="O345" s="2"/>
      <c r="P345" s="2"/>
      <c r="Q345" s="2"/>
      <c r="R345" s="2"/>
      <c r="S345" s="2"/>
      <c r="T345" s="2"/>
      <c r="U345" s="2"/>
      <c r="V345" s="2"/>
    </row>
    <row r="346" spans="1:22" ht="15.7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72"/>
      <c r="N346" s="2"/>
      <c r="O346" s="2"/>
      <c r="P346" s="2"/>
      <c r="Q346" s="2"/>
      <c r="R346" s="2"/>
      <c r="S346" s="2"/>
      <c r="T346" s="2"/>
      <c r="U346" s="2"/>
      <c r="V346" s="2"/>
    </row>
    <row r="347" spans="1:22" ht="15.7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72"/>
      <c r="N347" s="2"/>
      <c r="O347" s="2"/>
      <c r="P347" s="2"/>
      <c r="Q347" s="2"/>
      <c r="R347" s="2"/>
      <c r="S347" s="2"/>
      <c r="T347" s="2"/>
      <c r="U347" s="2"/>
      <c r="V347" s="2"/>
    </row>
    <row r="348" spans="1:22" ht="15.7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72"/>
      <c r="N348" s="2"/>
      <c r="O348" s="2"/>
      <c r="P348" s="2"/>
      <c r="Q348" s="2"/>
      <c r="R348" s="2"/>
      <c r="S348" s="2"/>
      <c r="T348" s="2"/>
      <c r="U348" s="2"/>
      <c r="V348" s="2"/>
    </row>
    <row r="349" spans="1:22" ht="15.7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72"/>
      <c r="N349" s="2"/>
      <c r="O349" s="2"/>
      <c r="P349" s="2"/>
      <c r="Q349" s="2"/>
      <c r="R349" s="2"/>
      <c r="S349" s="2"/>
      <c r="T349" s="2"/>
      <c r="U349" s="2"/>
      <c r="V349" s="2"/>
    </row>
    <row r="350" spans="1:22" ht="15.7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72"/>
      <c r="N350" s="2"/>
      <c r="O350" s="2"/>
      <c r="P350" s="2"/>
      <c r="Q350" s="2"/>
      <c r="R350" s="2"/>
      <c r="S350" s="2"/>
      <c r="T350" s="2"/>
      <c r="U350" s="2"/>
      <c r="V350" s="2"/>
    </row>
    <row r="351" spans="1:22" ht="15.7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72"/>
      <c r="N351" s="2"/>
      <c r="O351" s="2"/>
      <c r="P351" s="2"/>
      <c r="Q351" s="2"/>
      <c r="R351" s="2"/>
      <c r="S351" s="2"/>
      <c r="T351" s="2"/>
      <c r="U351" s="2"/>
      <c r="V351" s="2"/>
    </row>
    <row r="352" spans="1:22" ht="15.7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72"/>
      <c r="N352" s="2"/>
      <c r="O352" s="2"/>
      <c r="P352" s="2"/>
      <c r="Q352" s="2"/>
      <c r="R352" s="2"/>
      <c r="S352" s="2"/>
      <c r="T352" s="2"/>
      <c r="U352" s="2"/>
      <c r="V352" s="2"/>
    </row>
    <row r="353" spans="1:22" ht="15.7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72"/>
      <c r="N353" s="2"/>
      <c r="O353" s="2"/>
      <c r="P353" s="2"/>
      <c r="Q353" s="2"/>
      <c r="R353" s="2"/>
      <c r="S353" s="2"/>
      <c r="T353" s="2"/>
      <c r="U353" s="2"/>
      <c r="V353" s="2"/>
    </row>
    <row r="354" spans="1:22" ht="15.7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72"/>
      <c r="N354" s="2"/>
      <c r="O354" s="2"/>
      <c r="P354" s="2"/>
      <c r="Q354" s="2"/>
      <c r="R354" s="2"/>
      <c r="S354" s="2"/>
      <c r="T354" s="2"/>
      <c r="U354" s="2"/>
      <c r="V354" s="2"/>
    </row>
    <row r="355" spans="1:22" ht="15.7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72"/>
      <c r="N355" s="2"/>
      <c r="O355" s="2"/>
      <c r="P355" s="2"/>
      <c r="Q355" s="2"/>
      <c r="R355" s="2"/>
      <c r="S355" s="2"/>
      <c r="T355" s="2"/>
      <c r="U355" s="2"/>
      <c r="V355" s="2"/>
    </row>
    <row r="356" spans="1:22" ht="15.7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72"/>
      <c r="N356" s="2"/>
      <c r="O356" s="2"/>
      <c r="P356" s="2"/>
      <c r="Q356" s="2"/>
      <c r="R356" s="2"/>
      <c r="S356" s="2"/>
      <c r="T356" s="2"/>
      <c r="U356" s="2"/>
      <c r="V356" s="2"/>
    </row>
    <row r="357" spans="1:22" ht="15.7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72"/>
      <c r="N357" s="2"/>
      <c r="O357" s="2"/>
      <c r="P357" s="2"/>
      <c r="Q357" s="2"/>
      <c r="R357" s="2"/>
      <c r="S357" s="2"/>
      <c r="T357" s="2"/>
      <c r="U357" s="2"/>
      <c r="V357" s="2"/>
    </row>
    <row r="358" spans="1:22" ht="15.7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72"/>
      <c r="N358" s="2"/>
      <c r="O358" s="2"/>
      <c r="P358" s="2"/>
      <c r="Q358" s="2"/>
      <c r="R358" s="2"/>
      <c r="S358" s="2"/>
      <c r="T358" s="2"/>
      <c r="U358" s="2"/>
      <c r="V358" s="2"/>
    </row>
    <row r="359" spans="1:22" ht="15.7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72"/>
      <c r="N359" s="2"/>
      <c r="O359" s="2"/>
      <c r="P359" s="2"/>
      <c r="Q359" s="2"/>
      <c r="R359" s="2"/>
      <c r="S359" s="2"/>
      <c r="T359" s="2"/>
      <c r="U359" s="2"/>
      <c r="V359" s="2"/>
    </row>
    <row r="360" spans="1:22" ht="15.7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72"/>
      <c r="N360" s="2"/>
      <c r="O360" s="2"/>
      <c r="P360" s="2"/>
      <c r="Q360" s="2"/>
      <c r="R360" s="2"/>
      <c r="S360" s="2"/>
      <c r="T360" s="2"/>
      <c r="U360" s="2"/>
      <c r="V360" s="2"/>
    </row>
    <row r="361" spans="1:22" ht="15.7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72"/>
      <c r="N361" s="2"/>
      <c r="O361" s="2"/>
      <c r="P361" s="2"/>
      <c r="Q361" s="2"/>
      <c r="R361" s="2"/>
      <c r="S361" s="2"/>
      <c r="T361" s="2"/>
      <c r="U361" s="2"/>
      <c r="V361" s="2"/>
    </row>
    <row r="362" spans="1:22" ht="15.7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72"/>
      <c r="N362" s="2"/>
      <c r="O362" s="2"/>
      <c r="P362" s="2"/>
      <c r="Q362" s="2"/>
      <c r="R362" s="2"/>
      <c r="S362" s="2"/>
      <c r="T362" s="2"/>
      <c r="U362" s="2"/>
      <c r="V362" s="2"/>
    </row>
    <row r="363" spans="1:22" ht="15.7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72"/>
      <c r="N363" s="2"/>
      <c r="O363" s="2"/>
      <c r="P363" s="2"/>
      <c r="Q363" s="2"/>
      <c r="R363" s="2"/>
      <c r="S363" s="2"/>
      <c r="T363" s="2"/>
      <c r="U363" s="2"/>
      <c r="V363" s="2"/>
    </row>
    <row r="364" spans="1:22" ht="15.7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72"/>
      <c r="N364" s="2"/>
      <c r="O364" s="2"/>
      <c r="P364" s="2"/>
      <c r="Q364" s="2"/>
      <c r="R364" s="2"/>
      <c r="S364" s="2"/>
      <c r="T364" s="2"/>
      <c r="U364" s="2"/>
      <c r="V364" s="2"/>
    </row>
    <row r="365" spans="1:22" ht="15.7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72"/>
      <c r="N365" s="2"/>
      <c r="O365" s="2"/>
      <c r="P365" s="2"/>
      <c r="Q365" s="2"/>
      <c r="R365" s="2"/>
      <c r="S365" s="2"/>
      <c r="T365" s="2"/>
      <c r="U365" s="2"/>
      <c r="V365" s="2"/>
    </row>
    <row r="366" spans="1:22" ht="15.7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72"/>
      <c r="N366" s="2"/>
      <c r="O366" s="2"/>
      <c r="P366" s="2"/>
      <c r="Q366" s="2"/>
      <c r="R366" s="2"/>
      <c r="S366" s="2"/>
      <c r="T366" s="2"/>
      <c r="U366" s="2"/>
      <c r="V366" s="2"/>
    </row>
    <row r="367" spans="1:22" ht="15.7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72"/>
      <c r="N367" s="2"/>
      <c r="O367" s="2"/>
      <c r="P367" s="2"/>
      <c r="Q367" s="2"/>
      <c r="R367" s="2"/>
      <c r="S367" s="2"/>
      <c r="T367" s="2"/>
      <c r="U367" s="2"/>
      <c r="V367" s="2"/>
    </row>
    <row r="368" spans="1:22" ht="15.7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72"/>
      <c r="N368" s="2"/>
      <c r="O368" s="2"/>
      <c r="P368" s="2"/>
      <c r="Q368" s="2"/>
      <c r="R368" s="2"/>
      <c r="S368" s="2"/>
      <c r="T368" s="2"/>
      <c r="U368" s="2"/>
      <c r="V368" s="2"/>
    </row>
    <row r="369" spans="1:22" ht="15.7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72"/>
      <c r="N369" s="2"/>
      <c r="O369" s="2"/>
      <c r="P369" s="2"/>
      <c r="Q369" s="2"/>
      <c r="R369" s="2"/>
      <c r="S369" s="2"/>
      <c r="T369" s="2"/>
      <c r="U369" s="2"/>
      <c r="V369" s="2"/>
    </row>
    <row r="370" spans="1:22" ht="15.7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72"/>
      <c r="N370" s="2"/>
      <c r="O370" s="2"/>
      <c r="P370" s="2"/>
      <c r="Q370" s="2"/>
      <c r="R370" s="2"/>
      <c r="S370" s="2"/>
      <c r="T370" s="2"/>
      <c r="U370" s="2"/>
      <c r="V370" s="2"/>
    </row>
    <row r="371" spans="1:22" ht="15.7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72"/>
      <c r="N371" s="2"/>
      <c r="O371" s="2"/>
      <c r="P371" s="2"/>
      <c r="Q371" s="2"/>
      <c r="R371" s="2"/>
      <c r="S371" s="2"/>
      <c r="T371" s="2"/>
      <c r="U371" s="2"/>
      <c r="V371" s="2"/>
    </row>
    <row r="372" spans="1:22" ht="15.7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72"/>
      <c r="N372" s="2"/>
      <c r="O372" s="2"/>
      <c r="P372" s="2"/>
      <c r="Q372" s="2"/>
      <c r="R372" s="2"/>
      <c r="S372" s="2"/>
      <c r="T372" s="2"/>
      <c r="U372" s="2"/>
      <c r="V372" s="2"/>
    </row>
    <row r="373" spans="1:22" ht="15.7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72"/>
      <c r="N373" s="2"/>
      <c r="O373" s="2"/>
      <c r="P373" s="2"/>
      <c r="Q373" s="2"/>
      <c r="R373" s="2"/>
      <c r="S373" s="2"/>
      <c r="T373" s="2"/>
      <c r="U373" s="2"/>
      <c r="V373" s="2"/>
    </row>
    <row r="374" spans="1:22" ht="15.7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72"/>
      <c r="N374" s="2"/>
      <c r="O374" s="2"/>
      <c r="P374" s="2"/>
      <c r="Q374" s="2"/>
      <c r="R374" s="2"/>
      <c r="S374" s="2"/>
      <c r="T374" s="2"/>
      <c r="U374" s="2"/>
      <c r="V374" s="2"/>
    </row>
    <row r="375" spans="1:22" ht="15.7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72"/>
      <c r="N375" s="2"/>
      <c r="O375" s="2"/>
      <c r="P375" s="2"/>
      <c r="Q375" s="2"/>
      <c r="R375" s="2"/>
      <c r="S375" s="2"/>
      <c r="T375" s="2"/>
      <c r="U375" s="2"/>
      <c r="V375" s="2"/>
    </row>
    <row r="376" spans="1:22" ht="15.7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72"/>
      <c r="N376" s="2"/>
      <c r="O376" s="2"/>
      <c r="P376" s="2"/>
      <c r="Q376" s="2"/>
      <c r="R376" s="2"/>
      <c r="S376" s="2"/>
      <c r="T376" s="2"/>
      <c r="U376" s="2"/>
      <c r="V376" s="2"/>
    </row>
    <row r="377" spans="1:22" ht="15.7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72"/>
      <c r="N377" s="2"/>
      <c r="O377" s="2"/>
      <c r="P377" s="2"/>
      <c r="Q377" s="2"/>
      <c r="R377" s="2"/>
      <c r="S377" s="2"/>
      <c r="T377" s="2"/>
      <c r="U377" s="2"/>
      <c r="V377" s="2"/>
    </row>
    <row r="378" spans="1:22" ht="15.7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72"/>
      <c r="N378" s="2"/>
      <c r="O378" s="2"/>
      <c r="P378" s="2"/>
      <c r="Q378" s="2"/>
      <c r="R378" s="2"/>
      <c r="S378" s="2"/>
      <c r="T378" s="2"/>
      <c r="U378" s="2"/>
      <c r="V378" s="2"/>
    </row>
    <row r="379" spans="1:22" ht="15.7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72"/>
      <c r="N379" s="2"/>
      <c r="O379" s="2"/>
      <c r="P379" s="2"/>
      <c r="Q379" s="2"/>
      <c r="R379" s="2"/>
      <c r="S379" s="2"/>
      <c r="T379" s="2"/>
      <c r="U379" s="2"/>
      <c r="V379" s="2"/>
    </row>
    <row r="380" spans="1:22" ht="15.7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72"/>
      <c r="N380" s="2"/>
      <c r="O380" s="2"/>
      <c r="P380" s="2"/>
      <c r="Q380" s="2"/>
      <c r="R380" s="2"/>
      <c r="S380" s="2"/>
      <c r="T380" s="2"/>
      <c r="U380" s="2"/>
      <c r="V380" s="2"/>
    </row>
    <row r="381" spans="1:22" ht="15.7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72"/>
      <c r="N381" s="2"/>
      <c r="O381" s="2"/>
      <c r="P381" s="2"/>
      <c r="Q381" s="2"/>
      <c r="R381" s="2"/>
      <c r="S381" s="2"/>
      <c r="T381" s="2"/>
      <c r="U381" s="2"/>
      <c r="V381" s="2"/>
    </row>
    <row r="382" spans="1:22" ht="15.7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72"/>
      <c r="N382" s="2"/>
      <c r="O382" s="2"/>
      <c r="P382" s="2"/>
      <c r="Q382" s="2"/>
      <c r="R382" s="2"/>
      <c r="S382" s="2"/>
      <c r="T382" s="2"/>
      <c r="U382" s="2"/>
      <c r="V382" s="2"/>
    </row>
    <row r="383" spans="1:22" ht="15.7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72"/>
      <c r="N383" s="2"/>
      <c r="O383" s="2"/>
      <c r="P383" s="2"/>
      <c r="Q383" s="2"/>
      <c r="R383" s="2"/>
      <c r="S383" s="2"/>
      <c r="T383" s="2"/>
      <c r="U383" s="2"/>
      <c r="V383" s="2"/>
    </row>
    <row r="384" spans="1:22" ht="15.7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72"/>
      <c r="N384" s="2"/>
      <c r="O384" s="2"/>
      <c r="P384" s="2"/>
      <c r="Q384" s="2"/>
      <c r="R384" s="2"/>
      <c r="S384" s="2"/>
      <c r="T384" s="2"/>
      <c r="U384" s="2"/>
      <c r="V384" s="2"/>
    </row>
    <row r="385" spans="1:22" ht="15.7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72"/>
      <c r="N385" s="2"/>
      <c r="O385" s="2"/>
      <c r="P385" s="2"/>
      <c r="Q385" s="2"/>
      <c r="R385" s="2"/>
      <c r="S385" s="2"/>
      <c r="T385" s="2"/>
      <c r="U385" s="2"/>
      <c r="V385" s="2"/>
    </row>
    <row r="386" spans="1:22" ht="15.7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72"/>
      <c r="N386" s="2"/>
      <c r="O386" s="2"/>
      <c r="P386" s="2"/>
      <c r="Q386" s="2"/>
      <c r="R386" s="2"/>
      <c r="S386" s="2"/>
      <c r="T386" s="2"/>
      <c r="U386" s="2"/>
      <c r="V386" s="2"/>
    </row>
    <row r="387" spans="1:22" ht="15.7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72"/>
      <c r="N387" s="2"/>
      <c r="O387" s="2"/>
      <c r="P387" s="2"/>
      <c r="Q387" s="2"/>
      <c r="R387" s="2"/>
      <c r="S387" s="2"/>
      <c r="T387" s="2"/>
      <c r="U387" s="2"/>
      <c r="V387" s="2"/>
    </row>
    <row r="388" spans="1:22" ht="15.7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72"/>
      <c r="N388" s="2"/>
      <c r="O388" s="2"/>
      <c r="P388" s="2"/>
      <c r="Q388" s="2"/>
      <c r="R388" s="2"/>
      <c r="S388" s="2"/>
      <c r="T388" s="2"/>
      <c r="U388" s="2"/>
      <c r="V388" s="2"/>
    </row>
    <row r="389" spans="1:22" ht="15.7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72"/>
      <c r="N389" s="2"/>
      <c r="O389" s="2"/>
      <c r="P389" s="2"/>
      <c r="Q389" s="2"/>
      <c r="R389" s="2"/>
      <c r="S389" s="2"/>
      <c r="T389" s="2"/>
      <c r="U389" s="2"/>
      <c r="V389" s="2"/>
    </row>
    <row r="390" spans="1:22" ht="15.7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72"/>
      <c r="N390" s="2"/>
      <c r="O390" s="2"/>
      <c r="P390" s="2"/>
      <c r="Q390" s="2"/>
      <c r="R390" s="2"/>
      <c r="S390" s="2"/>
      <c r="T390" s="2"/>
      <c r="U390" s="2"/>
      <c r="V390" s="2"/>
    </row>
    <row r="391" spans="1:22" ht="15.7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72"/>
      <c r="N391" s="2"/>
      <c r="O391" s="2"/>
      <c r="P391" s="2"/>
      <c r="Q391" s="2"/>
      <c r="R391" s="2"/>
      <c r="S391" s="2"/>
      <c r="T391" s="2"/>
      <c r="U391" s="2"/>
      <c r="V391" s="2"/>
    </row>
    <row r="392" spans="1:22" ht="15.7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72"/>
      <c r="N392" s="2"/>
      <c r="O392" s="2"/>
      <c r="P392" s="2"/>
      <c r="Q392" s="2"/>
      <c r="R392" s="2"/>
      <c r="S392" s="2"/>
      <c r="T392" s="2"/>
      <c r="U392" s="2"/>
      <c r="V392" s="2"/>
    </row>
    <row r="393" spans="1:22" ht="15.7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72"/>
      <c r="N393" s="2"/>
      <c r="O393" s="2"/>
      <c r="P393" s="2"/>
      <c r="Q393" s="2"/>
      <c r="R393" s="2"/>
      <c r="S393" s="2"/>
      <c r="T393" s="2"/>
      <c r="U393" s="2"/>
      <c r="V393" s="2"/>
    </row>
    <row r="394" spans="1:22" ht="15.7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72"/>
      <c r="N394" s="2"/>
      <c r="O394" s="2"/>
      <c r="P394" s="2"/>
      <c r="Q394" s="2"/>
      <c r="R394" s="2"/>
      <c r="S394" s="2"/>
      <c r="T394" s="2"/>
      <c r="U394" s="2"/>
      <c r="V394" s="2"/>
    </row>
    <row r="395" spans="1:22" ht="15.7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72"/>
      <c r="N395" s="2"/>
      <c r="O395" s="2"/>
      <c r="P395" s="2"/>
      <c r="Q395" s="2"/>
      <c r="R395" s="2"/>
      <c r="S395" s="2"/>
      <c r="T395" s="2"/>
      <c r="U395" s="2"/>
      <c r="V395" s="2"/>
    </row>
    <row r="396" spans="1:22" ht="15.7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72"/>
      <c r="N396" s="2"/>
      <c r="O396" s="2"/>
      <c r="P396" s="2"/>
      <c r="Q396" s="2"/>
      <c r="R396" s="2"/>
      <c r="S396" s="2"/>
      <c r="T396" s="2"/>
      <c r="U396" s="2"/>
      <c r="V396" s="2"/>
    </row>
    <row r="397" spans="1:22" ht="15.7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72"/>
      <c r="N397" s="2"/>
      <c r="O397" s="2"/>
      <c r="P397" s="2"/>
      <c r="Q397" s="2"/>
      <c r="R397" s="2"/>
      <c r="S397" s="2"/>
      <c r="T397" s="2"/>
      <c r="U397" s="2"/>
      <c r="V397" s="2"/>
    </row>
    <row r="398" spans="1:22" ht="15.7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72"/>
      <c r="N398" s="2"/>
      <c r="O398" s="2"/>
      <c r="P398" s="2"/>
      <c r="Q398" s="2"/>
      <c r="R398" s="2"/>
      <c r="S398" s="2"/>
      <c r="T398" s="2"/>
      <c r="U398" s="2"/>
      <c r="V398" s="2"/>
    </row>
    <row r="399" spans="1:22" ht="15.7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72"/>
      <c r="N399" s="2"/>
      <c r="O399" s="2"/>
      <c r="P399" s="2"/>
      <c r="Q399" s="2"/>
      <c r="R399" s="2"/>
      <c r="S399" s="2"/>
      <c r="T399" s="2"/>
      <c r="U399" s="2"/>
      <c r="V399" s="2"/>
    </row>
    <row r="400" spans="1:22" ht="15.7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72"/>
      <c r="N400" s="2"/>
      <c r="O400" s="2"/>
      <c r="P400" s="2"/>
      <c r="Q400" s="2"/>
      <c r="R400" s="2"/>
      <c r="S400" s="2"/>
      <c r="T400" s="2"/>
      <c r="U400" s="2"/>
      <c r="V400" s="2"/>
    </row>
    <row r="401" spans="1:22" ht="15.7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72"/>
      <c r="N401" s="2"/>
      <c r="O401" s="2"/>
      <c r="P401" s="2"/>
      <c r="Q401" s="2"/>
      <c r="R401" s="2"/>
      <c r="S401" s="2"/>
      <c r="T401" s="2"/>
      <c r="U401" s="2"/>
      <c r="V401" s="2"/>
    </row>
    <row r="402" spans="1:22" ht="15.7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72"/>
      <c r="N402" s="2"/>
      <c r="O402" s="2"/>
      <c r="P402" s="2"/>
      <c r="Q402" s="2"/>
      <c r="R402" s="2"/>
      <c r="S402" s="2"/>
      <c r="T402" s="2"/>
      <c r="U402" s="2"/>
      <c r="V402" s="2"/>
    </row>
    <row r="403" spans="1:22" ht="15.7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72"/>
      <c r="N403" s="2"/>
      <c r="O403" s="2"/>
      <c r="P403" s="2"/>
      <c r="Q403" s="2"/>
      <c r="R403" s="2"/>
      <c r="S403" s="2"/>
      <c r="T403" s="2"/>
      <c r="U403" s="2"/>
      <c r="V403" s="2"/>
    </row>
    <row r="404" spans="1:22" ht="15.7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72"/>
      <c r="N404" s="2"/>
      <c r="O404" s="2"/>
      <c r="P404" s="2"/>
      <c r="Q404" s="2"/>
      <c r="R404" s="2"/>
      <c r="S404" s="2"/>
      <c r="T404" s="2"/>
      <c r="U404" s="2"/>
      <c r="V404" s="2"/>
    </row>
    <row r="405" spans="1:22" ht="15.7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72"/>
      <c r="N405" s="2"/>
      <c r="O405" s="2"/>
      <c r="P405" s="2"/>
      <c r="Q405" s="2"/>
      <c r="R405" s="2"/>
      <c r="S405" s="2"/>
      <c r="T405" s="2"/>
      <c r="U405" s="2"/>
      <c r="V405" s="2"/>
    </row>
    <row r="406" spans="1:22" ht="15.7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72"/>
      <c r="N406" s="2"/>
      <c r="O406" s="2"/>
      <c r="P406" s="2"/>
      <c r="Q406" s="2"/>
      <c r="R406" s="2"/>
      <c r="S406" s="2"/>
      <c r="T406" s="2"/>
      <c r="U406" s="2"/>
      <c r="V406" s="2"/>
    </row>
    <row r="407" spans="1:22" ht="15.7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72"/>
      <c r="N407" s="2"/>
      <c r="O407" s="2"/>
      <c r="P407" s="2"/>
      <c r="Q407" s="2"/>
      <c r="R407" s="2"/>
      <c r="S407" s="2"/>
      <c r="T407" s="2"/>
      <c r="U407" s="2"/>
      <c r="V407" s="2"/>
    </row>
    <row r="408" spans="1:22" ht="15.7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72"/>
      <c r="N408" s="2"/>
      <c r="O408" s="2"/>
      <c r="P408" s="2"/>
      <c r="Q408" s="2"/>
      <c r="R408" s="2"/>
      <c r="S408" s="2"/>
      <c r="T408" s="2"/>
      <c r="U408" s="2"/>
      <c r="V408" s="2"/>
    </row>
    <row r="409" spans="1:22" ht="15.7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72"/>
      <c r="N409" s="2"/>
      <c r="O409" s="2"/>
      <c r="P409" s="2"/>
      <c r="Q409" s="2"/>
      <c r="R409" s="2"/>
      <c r="S409" s="2"/>
      <c r="T409" s="2"/>
      <c r="U409" s="2"/>
      <c r="V409" s="2"/>
    </row>
    <row r="410" spans="1:22" ht="15.7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72"/>
      <c r="N410" s="2"/>
      <c r="O410" s="2"/>
      <c r="P410" s="2"/>
      <c r="Q410" s="2"/>
      <c r="R410" s="2"/>
      <c r="S410" s="2"/>
      <c r="T410" s="2"/>
      <c r="U410" s="2"/>
      <c r="V410" s="2"/>
    </row>
    <row r="411" spans="1:22" ht="15.7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72"/>
      <c r="N411" s="2"/>
      <c r="O411" s="2"/>
      <c r="P411" s="2"/>
      <c r="Q411" s="2"/>
      <c r="R411" s="2"/>
      <c r="S411" s="2"/>
      <c r="T411" s="2"/>
      <c r="U411" s="2"/>
      <c r="V411" s="2"/>
    </row>
    <row r="412" spans="1:22" ht="15.7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72"/>
      <c r="N412" s="2"/>
      <c r="O412" s="2"/>
      <c r="P412" s="2"/>
      <c r="Q412" s="2"/>
      <c r="R412" s="2"/>
      <c r="S412" s="2"/>
      <c r="T412" s="2"/>
      <c r="U412" s="2"/>
      <c r="V412" s="2"/>
    </row>
    <row r="413" spans="1:22" ht="15.7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72"/>
      <c r="N413" s="2"/>
      <c r="O413" s="2"/>
      <c r="P413" s="2"/>
      <c r="Q413" s="2"/>
      <c r="R413" s="2"/>
      <c r="S413" s="2"/>
      <c r="T413" s="2"/>
      <c r="U413" s="2"/>
      <c r="V413" s="2"/>
    </row>
    <row r="414" spans="1:22" ht="15.7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72"/>
      <c r="N414" s="2"/>
      <c r="O414" s="2"/>
      <c r="P414" s="2"/>
      <c r="Q414" s="2"/>
      <c r="R414" s="2"/>
      <c r="S414" s="2"/>
      <c r="T414" s="2"/>
      <c r="U414" s="2"/>
      <c r="V414" s="2"/>
    </row>
    <row r="415" spans="1:22" ht="15.7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72"/>
      <c r="N415" s="2"/>
      <c r="O415" s="2"/>
      <c r="P415" s="2"/>
      <c r="Q415" s="2"/>
      <c r="R415" s="2"/>
      <c r="S415" s="2"/>
      <c r="T415" s="2"/>
      <c r="U415" s="2"/>
      <c r="V415" s="2"/>
    </row>
    <row r="416" spans="1:22" ht="15.7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72"/>
      <c r="N416" s="2"/>
      <c r="O416" s="2"/>
      <c r="P416" s="2"/>
      <c r="Q416" s="2"/>
      <c r="R416" s="2"/>
      <c r="S416" s="2"/>
      <c r="T416" s="2"/>
      <c r="U416" s="2"/>
      <c r="V416" s="2"/>
    </row>
    <row r="417" spans="1:22" ht="15.7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72"/>
      <c r="N417" s="2"/>
      <c r="O417" s="2"/>
      <c r="P417" s="2"/>
      <c r="Q417" s="2"/>
      <c r="R417" s="2"/>
      <c r="S417" s="2"/>
      <c r="T417" s="2"/>
      <c r="U417" s="2"/>
      <c r="V417" s="2"/>
    </row>
    <row r="418" spans="1:22" ht="15.7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72"/>
      <c r="N418" s="2"/>
      <c r="O418" s="2"/>
      <c r="P418" s="2"/>
      <c r="Q418" s="2"/>
      <c r="R418" s="2"/>
      <c r="S418" s="2"/>
      <c r="T418" s="2"/>
      <c r="U418" s="2"/>
      <c r="V418" s="2"/>
    </row>
    <row r="419" spans="1:22" ht="15.7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72"/>
      <c r="N419" s="2"/>
      <c r="O419" s="2"/>
      <c r="P419" s="2"/>
      <c r="Q419" s="2"/>
      <c r="R419" s="2"/>
      <c r="S419" s="2"/>
      <c r="T419" s="2"/>
      <c r="U419" s="2"/>
      <c r="V419" s="2"/>
    </row>
    <row r="420" spans="1:22" ht="15.7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72"/>
      <c r="N420" s="2"/>
      <c r="O420" s="2"/>
      <c r="P420" s="2"/>
      <c r="Q420" s="2"/>
      <c r="R420" s="2"/>
      <c r="S420" s="2"/>
      <c r="T420" s="2"/>
      <c r="U420" s="2"/>
      <c r="V420" s="2"/>
    </row>
    <row r="421" spans="1:22" ht="15.7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72"/>
      <c r="N421" s="2"/>
      <c r="O421" s="2"/>
      <c r="P421" s="2"/>
      <c r="Q421" s="2"/>
      <c r="R421" s="2"/>
      <c r="S421" s="2"/>
      <c r="T421" s="2"/>
      <c r="U421" s="2"/>
      <c r="V421" s="2"/>
    </row>
    <row r="422" spans="1:22" ht="15.7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72"/>
      <c r="N422" s="2"/>
      <c r="O422" s="2"/>
      <c r="P422" s="2"/>
      <c r="Q422" s="2"/>
      <c r="R422" s="2"/>
      <c r="S422" s="2"/>
      <c r="T422" s="2"/>
      <c r="U422" s="2"/>
      <c r="V422" s="2"/>
    </row>
    <row r="423" spans="1:22" ht="15.7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72"/>
      <c r="N423" s="2"/>
      <c r="O423" s="2"/>
      <c r="P423" s="2"/>
      <c r="Q423" s="2"/>
      <c r="R423" s="2"/>
      <c r="S423" s="2"/>
      <c r="T423" s="2"/>
      <c r="U423" s="2"/>
      <c r="V423" s="2"/>
    </row>
    <row r="424" spans="1:22" ht="15.7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72"/>
      <c r="N424" s="2"/>
      <c r="O424" s="2"/>
      <c r="P424" s="2"/>
      <c r="Q424" s="2"/>
      <c r="R424" s="2"/>
      <c r="S424" s="2"/>
      <c r="T424" s="2"/>
      <c r="U424" s="2"/>
      <c r="V424" s="2"/>
    </row>
    <row r="425" spans="1:22" ht="15.7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72"/>
      <c r="N425" s="2"/>
      <c r="O425" s="2"/>
      <c r="P425" s="2"/>
      <c r="Q425" s="2"/>
      <c r="R425" s="2"/>
      <c r="S425" s="2"/>
      <c r="T425" s="2"/>
      <c r="U425" s="2"/>
      <c r="V425" s="2"/>
    </row>
    <row r="426" spans="1:22" ht="15.7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72"/>
      <c r="N426" s="2"/>
      <c r="O426" s="2"/>
      <c r="P426" s="2"/>
      <c r="Q426" s="2"/>
      <c r="R426" s="2"/>
      <c r="S426" s="2"/>
      <c r="T426" s="2"/>
      <c r="U426" s="2"/>
      <c r="V426" s="2"/>
    </row>
    <row r="427" spans="1:22" ht="15.7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72"/>
      <c r="N427" s="2"/>
      <c r="O427" s="2"/>
      <c r="P427" s="2"/>
      <c r="Q427" s="2"/>
      <c r="R427" s="2"/>
      <c r="S427" s="2"/>
      <c r="T427" s="2"/>
      <c r="U427" s="2"/>
      <c r="V427" s="2"/>
    </row>
    <row r="428" spans="1:22" ht="15.7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72"/>
      <c r="N428" s="2"/>
      <c r="O428" s="2"/>
      <c r="P428" s="2"/>
      <c r="Q428" s="2"/>
      <c r="R428" s="2"/>
      <c r="S428" s="2"/>
      <c r="T428" s="2"/>
      <c r="U428" s="2"/>
      <c r="V428" s="2"/>
    </row>
    <row r="429" spans="1:22" ht="15.7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72"/>
      <c r="N429" s="2"/>
      <c r="O429" s="2"/>
      <c r="P429" s="2"/>
      <c r="Q429" s="2"/>
      <c r="R429" s="2"/>
      <c r="S429" s="2"/>
      <c r="T429" s="2"/>
      <c r="U429" s="2"/>
      <c r="V429" s="2"/>
    </row>
    <row r="430" spans="1:22" ht="15.7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72"/>
      <c r="N430" s="2"/>
      <c r="O430" s="2"/>
      <c r="P430" s="2"/>
      <c r="Q430" s="2"/>
      <c r="R430" s="2"/>
      <c r="S430" s="2"/>
      <c r="T430" s="2"/>
      <c r="U430" s="2"/>
      <c r="V430" s="2"/>
    </row>
    <row r="431" spans="1:22" ht="15.7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72"/>
      <c r="N431" s="2"/>
      <c r="O431" s="2"/>
      <c r="P431" s="2"/>
      <c r="Q431" s="2"/>
      <c r="R431" s="2"/>
      <c r="S431" s="2"/>
      <c r="T431" s="2"/>
      <c r="U431" s="2"/>
      <c r="V431" s="2"/>
    </row>
    <row r="432" spans="1:22" ht="15.7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72"/>
      <c r="N432" s="2"/>
      <c r="O432" s="2"/>
      <c r="P432" s="2"/>
      <c r="Q432" s="2"/>
      <c r="R432" s="2"/>
      <c r="S432" s="2"/>
      <c r="T432" s="2"/>
      <c r="U432" s="2"/>
      <c r="V432" s="2"/>
    </row>
    <row r="433" spans="1:22" ht="15.7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72"/>
      <c r="N433" s="2"/>
      <c r="O433" s="2"/>
      <c r="P433" s="2"/>
      <c r="Q433" s="2"/>
      <c r="R433" s="2"/>
      <c r="S433" s="2"/>
      <c r="T433" s="2"/>
      <c r="U433" s="2"/>
      <c r="V433" s="2"/>
    </row>
    <row r="434" spans="1:22" ht="15.7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72"/>
      <c r="N434" s="2"/>
      <c r="O434" s="2"/>
      <c r="P434" s="2"/>
      <c r="Q434" s="2"/>
      <c r="R434" s="2"/>
      <c r="S434" s="2"/>
      <c r="T434" s="2"/>
      <c r="U434" s="2"/>
      <c r="V434" s="2"/>
    </row>
    <row r="435" spans="1:22" ht="15.7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72"/>
      <c r="N435" s="2"/>
      <c r="O435" s="2"/>
      <c r="P435" s="2"/>
      <c r="Q435" s="2"/>
      <c r="R435" s="2"/>
      <c r="S435" s="2"/>
      <c r="T435" s="2"/>
      <c r="U435" s="2"/>
      <c r="V435" s="2"/>
    </row>
    <row r="436" spans="1:22" ht="15.7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72"/>
      <c r="N436" s="2"/>
      <c r="O436" s="2"/>
      <c r="P436" s="2"/>
      <c r="Q436" s="2"/>
      <c r="R436" s="2"/>
      <c r="S436" s="2"/>
      <c r="T436" s="2"/>
      <c r="U436" s="2"/>
      <c r="V436" s="2"/>
    </row>
    <row r="437" spans="1:22" ht="15.7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72"/>
      <c r="N437" s="2"/>
      <c r="O437" s="2"/>
      <c r="P437" s="2"/>
      <c r="Q437" s="2"/>
      <c r="R437" s="2"/>
      <c r="S437" s="2"/>
      <c r="T437" s="2"/>
      <c r="U437" s="2"/>
      <c r="V437" s="2"/>
    </row>
    <row r="438" spans="1:22" ht="15.7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72"/>
      <c r="N438" s="2"/>
      <c r="O438" s="2"/>
      <c r="P438" s="2"/>
      <c r="Q438" s="2"/>
      <c r="R438" s="2"/>
      <c r="S438" s="2"/>
      <c r="T438" s="2"/>
      <c r="U438" s="2"/>
      <c r="V438" s="2"/>
    </row>
    <row r="439" spans="1:22" ht="15.7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72"/>
      <c r="N439" s="2"/>
      <c r="O439" s="2"/>
      <c r="P439" s="2"/>
      <c r="Q439" s="2"/>
      <c r="R439" s="2"/>
      <c r="S439" s="2"/>
      <c r="T439" s="2"/>
      <c r="U439" s="2"/>
      <c r="V439" s="2"/>
    </row>
    <row r="440" spans="1:22" ht="15.7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72"/>
      <c r="N440" s="2"/>
      <c r="O440" s="2"/>
      <c r="P440" s="2"/>
      <c r="Q440" s="2"/>
      <c r="R440" s="2"/>
      <c r="S440" s="2"/>
      <c r="T440" s="2"/>
      <c r="U440" s="2"/>
      <c r="V440" s="2"/>
    </row>
    <row r="441" spans="1:22" ht="15.7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72"/>
      <c r="N441" s="2"/>
      <c r="O441" s="2"/>
      <c r="P441" s="2"/>
      <c r="Q441" s="2"/>
      <c r="R441" s="2"/>
      <c r="S441" s="2"/>
      <c r="T441" s="2"/>
      <c r="U441" s="2"/>
      <c r="V441" s="2"/>
    </row>
    <row r="442" spans="1:22" ht="15.7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72"/>
      <c r="N442" s="2"/>
      <c r="O442" s="2"/>
      <c r="P442" s="2"/>
      <c r="Q442" s="2"/>
      <c r="R442" s="2"/>
      <c r="S442" s="2"/>
      <c r="T442" s="2"/>
      <c r="U442" s="2"/>
      <c r="V442" s="2"/>
    </row>
    <row r="443" spans="1:22" ht="15.7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72"/>
      <c r="N443" s="2"/>
      <c r="O443" s="2"/>
      <c r="P443" s="2"/>
      <c r="Q443" s="2"/>
      <c r="R443" s="2"/>
      <c r="S443" s="2"/>
      <c r="T443" s="2"/>
      <c r="U443" s="2"/>
      <c r="V443" s="2"/>
    </row>
    <row r="444" spans="1:22" ht="15.7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72"/>
      <c r="N444" s="2"/>
      <c r="O444" s="2"/>
      <c r="P444" s="2"/>
      <c r="Q444" s="2"/>
      <c r="R444" s="2"/>
      <c r="S444" s="2"/>
      <c r="T444" s="2"/>
      <c r="U444" s="2"/>
      <c r="V444" s="2"/>
    </row>
    <row r="445" spans="1:22" ht="15.7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72"/>
      <c r="N445" s="2"/>
      <c r="O445" s="2"/>
      <c r="P445" s="2"/>
      <c r="Q445" s="2"/>
      <c r="R445" s="2"/>
      <c r="S445" s="2"/>
      <c r="T445" s="2"/>
      <c r="U445" s="2"/>
      <c r="V445" s="2"/>
    </row>
    <row r="446" spans="1:22" ht="15.7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72"/>
      <c r="N446" s="2"/>
      <c r="O446" s="2"/>
      <c r="P446" s="2"/>
      <c r="Q446" s="2"/>
      <c r="R446" s="2"/>
      <c r="S446" s="2"/>
      <c r="T446" s="2"/>
      <c r="U446" s="2"/>
      <c r="V446" s="2"/>
    </row>
    <row r="447" spans="1:22" ht="15.7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72"/>
      <c r="N447" s="2"/>
      <c r="O447" s="2"/>
      <c r="P447" s="2"/>
      <c r="Q447" s="2"/>
      <c r="R447" s="2"/>
      <c r="S447" s="2"/>
      <c r="T447" s="2"/>
      <c r="U447" s="2"/>
      <c r="V447" s="2"/>
    </row>
    <row r="448" spans="1:22" ht="15.7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72"/>
      <c r="N448" s="2"/>
      <c r="O448" s="2"/>
      <c r="P448" s="2"/>
      <c r="Q448" s="2"/>
      <c r="R448" s="2"/>
      <c r="S448" s="2"/>
      <c r="T448" s="2"/>
      <c r="U448" s="2"/>
      <c r="V448" s="2"/>
    </row>
    <row r="449" spans="1:22" ht="15.7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72"/>
      <c r="N449" s="2"/>
      <c r="O449" s="2"/>
      <c r="P449" s="2"/>
      <c r="Q449" s="2"/>
      <c r="R449" s="2"/>
      <c r="S449" s="2"/>
      <c r="T449" s="2"/>
      <c r="U449" s="2"/>
      <c r="V449" s="2"/>
    </row>
    <row r="450" spans="1:22" ht="15.7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72"/>
      <c r="N450" s="2"/>
      <c r="O450" s="2"/>
      <c r="P450" s="2"/>
      <c r="Q450" s="2"/>
      <c r="R450" s="2"/>
      <c r="S450" s="2"/>
      <c r="T450" s="2"/>
      <c r="U450" s="2"/>
      <c r="V450" s="2"/>
    </row>
    <row r="451" spans="1:22" ht="15.7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72"/>
      <c r="N451" s="2"/>
      <c r="O451" s="2"/>
      <c r="P451" s="2"/>
      <c r="Q451" s="2"/>
      <c r="R451" s="2"/>
      <c r="S451" s="2"/>
      <c r="T451" s="2"/>
      <c r="U451" s="2"/>
      <c r="V451" s="2"/>
    </row>
    <row r="452" spans="1:22" ht="15.7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72"/>
      <c r="N452" s="2"/>
      <c r="O452" s="2"/>
      <c r="P452" s="2"/>
      <c r="Q452" s="2"/>
      <c r="R452" s="2"/>
      <c r="S452" s="2"/>
      <c r="T452" s="2"/>
      <c r="U452" s="2"/>
      <c r="V452" s="2"/>
    </row>
    <row r="453" spans="1:22" ht="15.7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72"/>
      <c r="N453" s="2"/>
      <c r="O453" s="2"/>
      <c r="P453" s="2"/>
      <c r="Q453" s="2"/>
      <c r="R453" s="2"/>
      <c r="S453" s="2"/>
      <c r="T453" s="2"/>
      <c r="U453" s="2"/>
      <c r="V453" s="2"/>
    </row>
    <row r="454" spans="1:22" ht="15.7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72"/>
      <c r="N454" s="2"/>
      <c r="O454" s="2"/>
      <c r="P454" s="2"/>
      <c r="Q454" s="2"/>
      <c r="R454" s="2"/>
      <c r="S454" s="2"/>
      <c r="T454" s="2"/>
      <c r="U454" s="2"/>
      <c r="V454" s="2"/>
    </row>
    <row r="455" spans="1:22" ht="15.7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72"/>
      <c r="N455" s="2"/>
      <c r="O455" s="2"/>
      <c r="P455" s="2"/>
      <c r="Q455" s="2"/>
      <c r="R455" s="2"/>
      <c r="S455" s="2"/>
      <c r="T455" s="2"/>
      <c r="U455" s="2"/>
      <c r="V455" s="2"/>
    </row>
    <row r="456" spans="1:22" ht="15.7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72"/>
      <c r="N456" s="2"/>
      <c r="O456" s="2"/>
      <c r="P456" s="2"/>
      <c r="Q456" s="2"/>
      <c r="R456" s="2"/>
      <c r="S456" s="2"/>
      <c r="T456" s="2"/>
      <c r="U456" s="2"/>
      <c r="V456" s="2"/>
    </row>
    <row r="457" spans="1:22" ht="15.7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72"/>
      <c r="N457" s="2"/>
      <c r="O457" s="2"/>
      <c r="P457" s="2"/>
      <c r="Q457" s="2"/>
      <c r="R457" s="2"/>
      <c r="S457" s="2"/>
      <c r="T457" s="2"/>
      <c r="U457" s="2"/>
      <c r="V457" s="2"/>
    </row>
    <row r="458" spans="1:22" ht="15.7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72"/>
      <c r="N458" s="2"/>
      <c r="O458" s="2"/>
      <c r="P458" s="2"/>
      <c r="Q458" s="2"/>
      <c r="R458" s="2"/>
      <c r="S458" s="2"/>
      <c r="T458" s="2"/>
      <c r="U458" s="2"/>
      <c r="V458" s="2"/>
    </row>
    <row r="459" spans="1:22" ht="15.7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72"/>
      <c r="N459" s="2"/>
      <c r="O459" s="2"/>
      <c r="P459" s="2"/>
      <c r="Q459" s="2"/>
      <c r="R459" s="2"/>
      <c r="S459" s="2"/>
      <c r="T459" s="2"/>
      <c r="U459" s="2"/>
      <c r="V459" s="2"/>
    </row>
    <row r="460" spans="1:22" ht="15.7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72"/>
      <c r="N460" s="2"/>
      <c r="O460" s="2"/>
      <c r="P460" s="2"/>
      <c r="Q460" s="2"/>
      <c r="R460" s="2"/>
      <c r="S460" s="2"/>
      <c r="T460" s="2"/>
      <c r="U460" s="2"/>
      <c r="V460" s="2"/>
    </row>
    <row r="461" spans="1:22" ht="15.7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72"/>
      <c r="N461" s="2"/>
      <c r="O461" s="2"/>
      <c r="P461" s="2"/>
      <c r="Q461" s="2"/>
      <c r="R461" s="2"/>
      <c r="S461" s="2"/>
      <c r="T461" s="2"/>
      <c r="U461" s="2"/>
      <c r="V461" s="2"/>
    </row>
    <row r="462" spans="1:22" ht="15.7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72"/>
      <c r="N462" s="2"/>
      <c r="O462" s="2"/>
      <c r="P462" s="2"/>
      <c r="Q462" s="2"/>
      <c r="R462" s="2"/>
      <c r="S462" s="2"/>
      <c r="T462" s="2"/>
      <c r="U462" s="2"/>
      <c r="V462" s="2"/>
    </row>
    <row r="463" spans="1:22" ht="15.7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72"/>
      <c r="N463" s="2"/>
      <c r="O463" s="2"/>
      <c r="P463" s="2"/>
      <c r="Q463" s="2"/>
      <c r="R463" s="2"/>
      <c r="S463" s="2"/>
      <c r="T463" s="2"/>
      <c r="U463" s="2"/>
      <c r="V463" s="2"/>
    </row>
    <row r="464" spans="1:22" ht="15.7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72"/>
      <c r="N464" s="2"/>
      <c r="O464" s="2"/>
      <c r="P464" s="2"/>
      <c r="Q464" s="2"/>
      <c r="R464" s="2"/>
      <c r="S464" s="2"/>
      <c r="T464" s="2"/>
      <c r="U464" s="2"/>
      <c r="V464" s="2"/>
    </row>
    <row r="465" spans="1:22" ht="15.7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72"/>
      <c r="N465" s="2"/>
      <c r="O465" s="2"/>
      <c r="P465" s="2"/>
      <c r="Q465" s="2"/>
      <c r="R465" s="2"/>
      <c r="S465" s="2"/>
      <c r="T465" s="2"/>
      <c r="U465" s="2"/>
      <c r="V465" s="2"/>
    </row>
    <row r="466" spans="1:22" ht="15.7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72"/>
      <c r="N466" s="2"/>
      <c r="O466" s="2"/>
      <c r="P466" s="2"/>
      <c r="Q466" s="2"/>
      <c r="R466" s="2"/>
      <c r="S466" s="2"/>
      <c r="T466" s="2"/>
      <c r="U466" s="2"/>
      <c r="V466" s="2"/>
    </row>
    <row r="467" spans="1:22" ht="15.7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72"/>
      <c r="N467" s="2"/>
      <c r="O467" s="2"/>
      <c r="P467" s="2"/>
      <c r="Q467" s="2"/>
      <c r="R467" s="2"/>
      <c r="S467" s="2"/>
      <c r="T467" s="2"/>
      <c r="U467" s="2"/>
      <c r="V467" s="2"/>
    </row>
    <row r="468" spans="1:22" ht="15.7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72"/>
      <c r="N468" s="2"/>
      <c r="O468" s="2"/>
      <c r="P468" s="2"/>
      <c r="Q468" s="2"/>
      <c r="R468" s="2"/>
      <c r="S468" s="2"/>
      <c r="T468" s="2"/>
      <c r="U468" s="2"/>
      <c r="V468" s="2"/>
    </row>
    <row r="469" spans="1:22" ht="15.7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72"/>
      <c r="N469" s="2"/>
      <c r="O469" s="2"/>
      <c r="P469" s="2"/>
      <c r="Q469" s="2"/>
      <c r="R469" s="2"/>
      <c r="S469" s="2"/>
      <c r="T469" s="2"/>
      <c r="U469" s="2"/>
      <c r="V469" s="2"/>
    </row>
    <row r="470" spans="1:22" ht="15.7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72"/>
      <c r="N470" s="2"/>
      <c r="O470" s="2"/>
      <c r="P470" s="2"/>
      <c r="Q470" s="2"/>
      <c r="R470" s="2"/>
      <c r="S470" s="2"/>
      <c r="T470" s="2"/>
      <c r="U470" s="2"/>
      <c r="V470" s="2"/>
    </row>
    <row r="471" spans="1:22" ht="15.7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72"/>
      <c r="N471" s="2"/>
      <c r="O471" s="2"/>
      <c r="P471" s="2"/>
      <c r="Q471" s="2"/>
      <c r="R471" s="2"/>
      <c r="S471" s="2"/>
      <c r="T471" s="2"/>
      <c r="U471" s="2"/>
      <c r="V471" s="2"/>
    </row>
    <row r="472" spans="1:22" ht="15.7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72"/>
      <c r="N472" s="2"/>
      <c r="O472" s="2"/>
      <c r="P472" s="2"/>
      <c r="Q472" s="2"/>
      <c r="R472" s="2"/>
      <c r="S472" s="2"/>
      <c r="T472" s="2"/>
      <c r="U472" s="2"/>
      <c r="V472" s="2"/>
    </row>
    <row r="473" spans="1:22" ht="15.7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72"/>
      <c r="N473" s="2"/>
      <c r="O473" s="2"/>
      <c r="P473" s="2"/>
      <c r="Q473" s="2"/>
      <c r="R473" s="2"/>
      <c r="S473" s="2"/>
      <c r="T473" s="2"/>
      <c r="U473" s="2"/>
      <c r="V473" s="2"/>
    </row>
    <row r="474" spans="1:22" ht="15.7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72"/>
      <c r="N474" s="2"/>
      <c r="O474" s="2"/>
      <c r="P474" s="2"/>
      <c r="Q474" s="2"/>
      <c r="R474" s="2"/>
      <c r="S474" s="2"/>
      <c r="T474" s="2"/>
      <c r="U474" s="2"/>
      <c r="V474" s="2"/>
    </row>
    <row r="475" spans="1:22" ht="15.7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72"/>
      <c r="N475" s="2"/>
      <c r="O475" s="2"/>
      <c r="P475" s="2"/>
      <c r="Q475" s="2"/>
      <c r="R475" s="2"/>
      <c r="S475" s="2"/>
      <c r="T475" s="2"/>
      <c r="U475" s="2"/>
      <c r="V475" s="2"/>
    </row>
    <row r="476" spans="1:22" ht="15.7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72"/>
      <c r="N476" s="2"/>
      <c r="O476" s="2"/>
      <c r="P476" s="2"/>
      <c r="Q476" s="2"/>
      <c r="R476" s="2"/>
      <c r="S476" s="2"/>
      <c r="T476" s="2"/>
      <c r="U476" s="2"/>
      <c r="V476" s="2"/>
    </row>
    <row r="477" spans="1:22" ht="15.7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72"/>
      <c r="N477" s="2"/>
      <c r="O477" s="2"/>
      <c r="P477" s="2"/>
      <c r="Q477" s="2"/>
      <c r="R477" s="2"/>
      <c r="S477" s="2"/>
      <c r="T477" s="2"/>
      <c r="U477" s="2"/>
      <c r="V477" s="2"/>
    </row>
    <row r="478" spans="1:22" ht="15.7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72"/>
      <c r="N478" s="2"/>
      <c r="O478" s="2"/>
      <c r="P478" s="2"/>
      <c r="Q478" s="2"/>
      <c r="R478" s="2"/>
      <c r="S478" s="2"/>
      <c r="T478" s="2"/>
      <c r="U478" s="2"/>
      <c r="V478" s="2"/>
    </row>
    <row r="479" spans="1:22" ht="15.7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72"/>
      <c r="N479" s="2"/>
      <c r="O479" s="2"/>
      <c r="P479" s="2"/>
      <c r="Q479" s="2"/>
      <c r="R479" s="2"/>
      <c r="S479" s="2"/>
      <c r="T479" s="2"/>
      <c r="U479" s="2"/>
      <c r="V479" s="2"/>
    </row>
    <row r="480" spans="1:22" ht="15.7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72"/>
      <c r="N480" s="2"/>
      <c r="O480" s="2"/>
      <c r="P480" s="2"/>
      <c r="Q480" s="2"/>
      <c r="R480" s="2"/>
      <c r="S480" s="2"/>
      <c r="T480" s="2"/>
      <c r="U480" s="2"/>
      <c r="V480" s="2"/>
    </row>
    <row r="481" spans="1:22" ht="15.7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72"/>
      <c r="N481" s="2"/>
      <c r="O481" s="2"/>
      <c r="P481" s="2"/>
      <c r="Q481" s="2"/>
      <c r="R481" s="2"/>
      <c r="S481" s="2"/>
      <c r="T481" s="2"/>
      <c r="U481" s="2"/>
      <c r="V481" s="2"/>
    </row>
    <row r="482" spans="1:22" ht="15.7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72"/>
      <c r="N482" s="2"/>
      <c r="O482" s="2"/>
      <c r="P482" s="2"/>
      <c r="Q482" s="2"/>
      <c r="R482" s="2"/>
      <c r="S482" s="2"/>
      <c r="T482" s="2"/>
      <c r="U482" s="2"/>
      <c r="V482" s="2"/>
    </row>
    <row r="483" spans="1:22" ht="15.7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72"/>
      <c r="N483" s="2"/>
      <c r="O483" s="2"/>
      <c r="P483" s="2"/>
      <c r="Q483" s="2"/>
      <c r="R483" s="2"/>
      <c r="S483" s="2"/>
      <c r="T483" s="2"/>
      <c r="U483" s="2"/>
      <c r="V483" s="2"/>
    </row>
    <row r="484" spans="1:22" ht="15.7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72"/>
      <c r="N484" s="2"/>
      <c r="O484" s="2"/>
      <c r="P484" s="2"/>
      <c r="Q484" s="2"/>
      <c r="R484" s="2"/>
      <c r="S484" s="2"/>
      <c r="T484" s="2"/>
      <c r="U484" s="2"/>
      <c r="V484" s="2"/>
    </row>
    <row r="485" spans="1:22" ht="15.7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72"/>
      <c r="N485" s="2"/>
      <c r="O485" s="2"/>
      <c r="P485" s="2"/>
      <c r="Q485" s="2"/>
      <c r="R485" s="2"/>
      <c r="S485" s="2"/>
      <c r="T485" s="2"/>
      <c r="U485" s="2"/>
      <c r="V485" s="2"/>
    </row>
    <row r="486" spans="1:22" ht="15.7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72"/>
      <c r="N486" s="2"/>
      <c r="O486" s="2"/>
      <c r="P486" s="2"/>
      <c r="Q486" s="2"/>
      <c r="R486" s="2"/>
      <c r="S486" s="2"/>
      <c r="T486" s="2"/>
      <c r="U486" s="2"/>
      <c r="V486" s="2"/>
    </row>
    <row r="487" spans="1:22" ht="15.7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72"/>
      <c r="N487" s="2"/>
      <c r="O487" s="2"/>
      <c r="P487" s="2"/>
      <c r="Q487" s="2"/>
      <c r="R487" s="2"/>
      <c r="S487" s="2"/>
      <c r="T487" s="2"/>
      <c r="U487" s="2"/>
      <c r="V487" s="2"/>
    </row>
    <row r="488" spans="1:22" ht="15.7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72"/>
      <c r="N488" s="2"/>
      <c r="O488" s="2"/>
      <c r="P488" s="2"/>
      <c r="Q488" s="2"/>
      <c r="R488" s="2"/>
      <c r="S488" s="2"/>
      <c r="T488" s="2"/>
      <c r="U488" s="2"/>
      <c r="V488" s="2"/>
    </row>
    <row r="489" spans="1:22" ht="15.7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72"/>
      <c r="N489" s="2"/>
      <c r="O489" s="2"/>
      <c r="P489" s="2"/>
      <c r="Q489" s="2"/>
      <c r="R489" s="2"/>
      <c r="S489" s="2"/>
      <c r="T489" s="2"/>
      <c r="U489" s="2"/>
      <c r="V489" s="2"/>
    </row>
    <row r="490" spans="1:22" ht="15.7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72"/>
      <c r="N490" s="2"/>
      <c r="O490" s="2"/>
      <c r="P490" s="2"/>
      <c r="Q490" s="2"/>
      <c r="R490" s="2"/>
      <c r="S490" s="2"/>
      <c r="T490" s="2"/>
      <c r="U490" s="2"/>
      <c r="V490" s="2"/>
    </row>
    <row r="491" spans="1:22" ht="15.7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72"/>
      <c r="N491" s="2"/>
      <c r="O491" s="2"/>
      <c r="P491" s="2"/>
      <c r="Q491" s="2"/>
      <c r="R491" s="2"/>
      <c r="S491" s="2"/>
      <c r="T491" s="2"/>
      <c r="U491" s="2"/>
      <c r="V491" s="2"/>
    </row>
    <row r="492" spans="1:22" ht="15.7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72"/>
      <c r="N492" s="2"/>
      <c r="O492" s="2"/>
      <c r="P492" s="2"/>
      <c r="Q492" s="2"/>
      <c r="R492" s="2"/>
      <c r="S492" s="2"/>
      <c r="T492" s="2"/>
      <c r="U492" s="2"/>
      <c r="V492" s="2"/>
    </row>
    <row r="493" spans="1:22" ht="15.7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72"/>
      <c r="N493" s="2"/>
      <c r="O493" s="2"/>
      <c r="P493" s="2"/>
      <c r="Q493" s="2"/>
      <c r="R493" s="2"/>
      <c r="S493" s="2"/>
      <c r="T493" s="2"/>
      <c r="U493" s="2"/>
      <c r="V493" s="2"/>
    </row>
    <row r="494" spans="1:22" ht="15.7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72"/>
      <c r="N494" s="2"/>
      <c r="O494" s="2"/>
      <c r="P494" s="2"/>
      <c r="Q494" s="2"/>
      <c r="R494" s="2"/>
      <c r="S494" s="2"/>
      <c r="T494" s="2"/>
      <c r="U494" s="2"/>
      <c r="V494" s="2"/>
    </row>
    <row r="495" spans="1:22" ht="15.7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72"/>
      <c r="N495" s="2"/>
      <c r="O495" s="2"/>
      <c r="P495" s="2"/>
      <c r="Q495" s="2"/>
      <c r="R495" s="2"/>
      <c r="S495" s="2"/>
      <c r="T495" s="2"/>
      <c r="U495" s="2"/>
      <c r="V495" s="2"/>
    </row>
    <row r="496" spans="1:22" ht="15.7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72"/>
      <c r="N496" s="2"/>
      <c r="O496" s="2"/>
      <c r="P496" s="2"/>
      <c r="Q496" s="2"/>
      <c r="R496" s="2"/>
      <c r="S496" s="2"/>
      <c r="T496" s="2"/>
      <c r="U496" s="2"/>
      <c r="V496" s="2"/>
    </row>
    <row r="497" spans="1:22" ht="15.7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72"/>
      <c r="N497" s="2"/>
      <c r="O497" s="2"/>
      <c r="P497" s="2"/>
      <c r="Q497" s="2"/>
      <c r="R497" s="2"/>
      <c r="S497" s="2"/>
      <c r="T497" s="2"/>
      <c r="U497" s="2"/>
      <c r="V497" s="2"/>
    </row>
    <row r="498" spans="1:22" ht="15.7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72"/>
      <c r="N498" s="2"/>
      <c r="O498" s="2"/>
      <c r="P498" s="2"/>
      <c r="Q498" s="2"/>
      <c r="R498" s="2"/>
      <c r="S498" s="2"/>
      <c r="T498" s="2"/>
      <c r="U498" s="2"/>
      <c r="V498" s="2"/>
    </row>
    <row r="499" spans="1:22" ht="15.7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72"/>
      <c r="N499" s="2"/>
      <c r="O499" s="2"/>
      <c r="P499" s="2"/>
      <c r="Q499" s="2"/>
      <c r="R499" s="2"/>
      <c r="S499" s="2"/>
      <c r="T499" s="2"/>
      <c r="U499" s="2"/>
      <c r="V499" s="2"/>
    </row>
    <row r="500" spans="1:22" ht="15.7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72"/>
      <c r="N500" s="2"/>
      <c r="O500" s="2"/>
      <c r="P500" s="2"/>
      <c r="Q500" s="2"/>
      <c r="R500" s="2"/>
      <c r="S500" s="2"/>
      <c r="T500" s="2"/>
      <c r="U500" s="2"/>
      <c r="V500" s="2"/>
    </row>
    <row r="501" spans="1:22" ht="15.7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72"/>
      <c r="N501" s="2"/>
      <c r="O501" s="2"/>
      <c r="P501" s="2"/>
      <c r="Q501" s="2"/>
      <c r="R501" s="2"/>
      <c r="S501" s="2"/>
      <c r="T501" s="2"/>
      <c r="U501" s="2"/>
      <c r="V501" s="2"/>
    </row>
    <row r="502" spans="1:22" ht="15.7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72"/>
      <c r="N502" s="2"/>
      <c r="O502" s="2"/>
      <c r="P502" s="2"/>
      <c r="Q502" s="2"/>
      <c r="R502" s="2"/>
      <c r="S502" s="2"/>
      <c r="T502" s="2"/>
      <c r="U502" s="2"/>
      <c r="V502" s="2"/>
    </row>
    <row r="503" spans="1:22" ht="15.7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72"/>
      <c r="N503" s="2"/>
      <c r="O503" s="2"/>
      <c r="P503" s="2"/>
      <c r="Q503" s="2"/>
      <c r="R503" s="2"/>
      <c r="S503" s="2"/>
      <c r="T503" s="2"/>
      <c r="U503" s="2"/>
      <c r="V503" s="2"/>
    </row>
    <row r="504" spans="1:22" ht="15.7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72"/>
      <c r="N504" s="2"/>
      <c r="O504" s="2"/>
      <c r="P504" s="2"/>
      <c r="Q504" s="2"/>
      <c r="R504" s="2"/>
      <c r="S504" s="2"/>
      <c r="T504" s="2"/>
      <c r="U504" s="2"/>
      <c r="V504" s="2"/>
    </row>
    <row r="505" spans="1:22" ht="15.7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72"/>
      <c r="N505" s="2"/>
      <c r="O505" s="2"/>
      <c r="P505" s="2"/>
      <c r="Q505" s="2"/>
      <c r="R505" s="2"/>
      <c r="S505" s="2"/>
      <c r="T505" s="2"/>
      <c r="U505" s="2"/>
      <c r="V505" s="2"/>
    </row>
    <row r="506" spans="1:22" ht="15.7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72"/>
      <c r="N506" s="2"/>
      <c r="O506" s="2"/>
      <c r="P506" s="2"/>
      <c r="Q506" s="2"/>
      <c r="R506" s="2"/>
      <c r="S506" s="2"/>
      <c r="T506" s="2"/>
      <c r="U506" s="2"/>
      <c r="V506" s="2"/>
    </row>
    <row r="507" spans="1:22" ht="15.7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72"/>
      <c r="N507" s="2"/>
      <c r="O507" s="2"/>
      <c r="P507" s="2"/>
      <c r="Q507" s="2"/>
      <c r="R507" s="2"/>
      <c r="S507" s="2"/>
      <c r="T507" s="2"/>
      <c r="U507" s="2"/>
      <c r="V507" s="2"/>
    </row>
    <row r="508" spans="1:22" ht="15.7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72"/>
      <c r="N508" s="2"/>
      <c r="O508" s="2"/>
      <c r="P508" s="2"/>
      <c r="Q508" s="2"/>
      <c r="R508" s="2"/>
      <c r="S508" s="2"/>
      <c r="T508" s="2"/>
      <c r="U508" s="2"/>
      <c r="V508" s="2"/>
    </row>
    <row r="509" spans="1:22" ht="15.7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72"/>
      <c r="N509" s="2"/>
      <c r="O509" s="2"/>
      <c r="P509" s="2"/>
      <c r="Q509" s="2"/>
      <c r="R509" s="2"/>
      <c r="S509" s="2"/>
      <c r="T509" s="2"/>
      <c r="U509" s="2"/>
      <c r="V509" s="2"/>
    </row>
    <row r="510" spans="1:22" ht="15.7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72"/>
      <c r="N510" s="2"/>
      <c r="O510" s="2"/>
      <c r="P510" s="2"/>
      <c r="Q510" s="2"/>
      <c r="R510" s="2"/>
      <c r="S510" s="2"/>
      <c r="T510" s="2"/>
      <c r="U510" s="2"/>
      <c r="V510" s="2"/>
    </row>
    <row r="511" spans="1:22" ht="15.7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72"/>
      <c r="N511" s="2"/>
      <c r="O511" s="2"/>
      <c r="P511" s="2"/>
      <c r="Q511" s="2"/>
      <c r="R511" s="2"/>
      <c r="S511" s="2"/>
      <c r="T511" s="2"/>
      <c r="U511" s="2"/>
      <c r="V511" s="2"/>
    </row>
    <row r="512" spans="1:22" ht="15.7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72"/>
      <c r="N512" s="2"/>
      <c r="O512" s="2"/>
      <c r="P512" s="2"/>
      <c r="Q512" s="2"/>
      <c r="R512" s="2"/>
      <c r="S512" s="2"/>
      <c r="T512" s="2"/>
      <c r="U512" s="2"/>
      <c r="V512" s="2"/>
    </row>
    <row r="513" spans="1:22" ht="15.7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72"/>
      <c r="N513" s="2"/>
      <c r="O513" s="2"/>
      <c r="P513" s="2"/>
      <c r="Q513" s="2"/>
      <c r="R513" s="2"/>
      <c r="S513" s="2"/>
      <c r="T513" s="2"/>
      <c r="U513" s="2"/>
      <c r="V513" s="2"/>
    </row>
    <row r="514" spans="1:22" ht="15.7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72"/>
      <c r="N514" s="2"/>
      <c r="O514" s="2"/>
      <c r="P514" s="2"/>
      <c r="Q514" s="2"/>
      <c r="R514" s="2"/>
      <c r="S514" s="2"/>
      <c r="T514" s="2"/>
      <c r="U514" s="2"/>
      <c r="V514" s="2"/>
    </row>
    <row r="515" spans="1:22" ht="15.7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72"/>
      <c r="N515" s="2"/>
      <c r="O515" s="2"/>
      <c r="P515" s="2"/>
      <c r="Q515" s="2"/>
      <c r="R515" s="2"/>
      <c r="S515" s="2"/>
      <c r="T515" s="2"/>
      <c r="U515" s="2"/>
      <c r="V515" s="2"/>
    </row>
    <row r="516" spans="1:22" ht="15.7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72"/>
      <c r="N516" s="2"/>
      <c r="O516" s="2"/>
      <c r="P516" s="2"/>
      <c r="Q516" s="2"/>
      <c r="R516" s="2"/>
      <c r="S516" s="2"/>
      <c r="T516" s="2"/>
      <c r="U516" s="2"/>
      <c r="V516" s="2"/>
    </row>
    <row r="517" spans="1:22" ht="15.7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72"/>
      <c r="N517" s="2"/>
      <c r="O517" s="2"/>
      <c r="P517" s="2"/>
      <c r="Q517" s="2"/>
      <c r="R517" s="2"/>
      <c r="S517" s="2"/>
      <c r="T517" s="2"/>
      <c r="U517" s="2"/>
      <c r="V517" s="2"/>
    </row>
    <row r="518" spans="1:22" ht="15.7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72"/>
      <c r="N518" s="2"/>
      <c r="O518" s="2"/>
      <c r="P518" s="2"/>
      <c r="Q518" s="2"/>
      <c r="R518" s="2"/>
      <c r="S518" s="2"/>
      <c r="T518" s="2"/>
      <c r="U518" s="2"/>
      <c r="V518" s="2"/>
    </row>
    <row r="519" spans="1:22" ht="15.7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72"/>
      <c r="N519" s="2"/>
      <c r="O519" s="2"/>
      <c r="P519" s="2"/>
      <c r="Q519" s="2"/>
      <c r="R519" s="2"/>
      <c r="S519" s="2"/>
      <c r="T519" s="2"/>
      <c r="U519" s="2"/>
      <c r="V519" s="2"/>
    </row>
    <row r="520" spans="1:22" ht="15.7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72"/>
      <c r="N520" s="2"/>
      <c r="O520" s="2"/>
      <c r="P520" s="2"/>
      <c r="Q520" s="2"/>
      <c r="R520" s="2"/>
      <c r="S520" s="2"/>
      <c r="T520" s="2"/>
      <c r="U520" s="2"/>
      <c r="V520" s="2"/>
    </row>
    <row r="521" spans="1:22" ht="15.7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72"/>
      <c r="N521" s="2"/>
      <c r="O521" s="2"/>
      <c r="P521" s="2"/>
      <c r="Q521" s="2"/>
      <c r="R521" s="2"/>
      <c r="S521" s="2"/>
      <c r="T521" s="2"/>
      <c r="U521" s="2"/>
      <c r="V521" s="2"/>
    </row>
    <row r="522" spans="1:22" ht="15.7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72"/>
      <c r="N522" s="2"/>
      <c r="O522" s="2"/>
      <c r="P522" s="2"/>
      <c r="Q522" s="2"/>
      <c r="R522" s="2"/>
      <c r="S522" s="2"/>
      <c r="T522" s="2"/>
      <c r="U522" s="2"/>
      <c r="V522" s="2"/>
    </row>
    <row r="523" spans="1:22" ht="15.7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72"/>
      <c r="N523" s="2"/>
      <c r="O523" s="2"/>
      <c r="P523" s="2"/>
      <c r="Q523" s="2"/>
      <c r="R523" s="2"/>
      <c r="S523" s="2"/>
      <c r="T523" s="2"/>
      <c r="U523" s="2"/>
      <c r="V523" s="2"/>
    </row>
    <row r="524" spans="1:22" ht="15.7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72"/>
      <c r="N524" s="2"/>
      <c r="O524" s="2"/>
      <c r="P524" s="2"/>
      <c r="Q524" s="2"/>
      <c r="R524" s="2"/>
      <c r="S524" s="2"/>
      <c r="T524" s="2"/>
      <c r="U524" s="2"/>
      <c r="V524" s="2"/>
    </row>
    <row r="525" spans="1:22" ht="15.7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72"/>
      <c r="N525" s="2"/>
      <c r="O525" s="2"/>
      <c r="P525" s="2"/>
      <c r="Q525" s="2"/>
      <c r="R525" s="2"/>
      <c r="S525" s="2"/>
      <c r="T525" s="2"/>
      <c r="U525" s="2"/>
      <c r="V525" s="2"/>
    </row>
    <row r="526" spans="1:22" ht="15.7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72"/>
      <c r="N526" s="2"/>
      <c r="O526" s="2"/>
      <c r="P526" s="2"/>
      <c r="Q526" s="2"/>
      <c r="R526" s="2"/>
      <c r="S526" s="2"/>
      <c r="T526" s="2"/>
      <c r="U526" s="2"/>
      <c r="V526" s="2"/>
    </row>
    <row r="527" spans="1:22" ht="15.7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72"/>
      <c r="N527" s="2"/>
      <c r="O527" s="2"/>
      <c r="P527" s="2"/>
      <c r="Q527" s="2"/>
      <c r="R527" s="2"/>
      <c r="S527" s="2"/>
      <c r="T527" s="2"/>
      <c r="U527" s="2"/>
      <c r="V527" s="2"/>
    </row>
    <row r="528" spans="1:22" ht="15.7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72"/>
      <c r="N528" s="2"/>
      <c r="O528" s="2"/>
      <c r="P528" s="2"/>
      <c r="Q528" s="2"/>
      <c r="R528" s="2"/>
      <c r="S528" s="2"/>
      <c r="T528" s="2"/>
      <c r="U528" s="2"/>
      <c r="V528" s="2"/>
    </row>
    <row r="529" spans="1:22" ht="15.7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72"/>
      <c r="N529" s="2"/>
      <c r="O529" s="2"/>
      <c r="P529" s="2"/>
      <c r="Q529" s="2"/>
      <c r="R529" s="2"/>
      <c r="S529" s="2"/>
      <c r="T529" s="2"/>
      <c r="U529" s="2"/>
      <c r="V529" s="2"/>
    </row>
    <row r="530" spans="1:22" ht="15.7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72"/>
      <c r="N530" s="2"/>
      <c r="O530" s="2"/>
      <c r="P530" s="2"/>
      <c r="Q530" s="2"/>
      <c r="R530" s="2"/>
      <c r="S530" s="2"/>
      <c r="T530" s="2"/>
      <c r="U530" s="2"/>
      <c r="V530" s="2"/>
    </row>
    <row r="531" spans="1:22" ht="15.7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72"/>
      <c r="N531" s="2"/>
      <c r="O531" s="2"/>
      <c r="P531" s="2"/>
      <c r="Q531" s="2"/>
      <c r="R531" s="2"/>
      <c r="S531" s="2"/>
      <c r="T531" s="2"/>
      <c r="U531" s="2"/>
      <c r="V531" s="2"/>
    </row>
    <row r="532" spans="1:22" ht="15.7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72"/>
      <c r="N532" s="2"/>
      <c r="O532" s="2"/>
      <c r="P532" s="2"/>
      <c r="Q532" s="2"/>
      <c r="R532" s="2"/>
      <c r="S532" s="2"/>
      <c r="T532" s="2"/>
      <c r="U532" s="2"/>
      <c r="V532" s="2"/>
    </row>
    <row r="533" spans="1:22" ht="15.7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72"/>
      <c r="N533" s="2"/>
      <c r="O533" s="2"/>
      <c r="P533" s="2"/>
      <c r="Q533" s="2"/>
      <c r="R533" s="2"/>
      <c r="S533" s="2"/>
      <c r="T533" s="2"/>
      <c r="U533" s="2"/>
      <c r="V533" s="2"/>
    </row>
    <row r="534" spans="1:22" ht="15.7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72"/>
      <c r="N534" s="2"/>
      <c r="O534" s="2"/>
      <c r="P534" s="2"/>
      <c r="Q534" s="2"/>
      <c r="R534" s="2"/>
      <c r="S534" s="2"/>
      <c r="T534" s="2"/>
      <c r="U534" s="2"/>
      <c r="V534" s="2"/>
    </row>
    <row r="535" spans="1:22" ht="15.7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72"/>
      <c r="N535" s="2"/>
      <c r="O535" s="2"/>
      <c r="P535" s="2"/>
      <c r="Q535" s="2"/>
      <c r="R535" s="2"/>
      <c r="S535" s="2"/>
      <c r="T535" s="2"/>
      <c r="U535" s="2"/>
      <c r="V535" s="2"/>
    </row>
    <row r="536" spans="1:22" ht="15.7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72"/>
      <c r="N536" s="2"/>
      <c r="O536" s="2"/>
      <c r="P536" s="2"/>
      <c r="Q536" s="2"/>
      <c r="R536" s="2"/>
      <c r="S536" s="2"/>
      <c r="T536" s="2"/>
      <c r="U536" s="2"/>
      <c r="V536" s="2"/>
    </row>
    <row r="537" spans="1:22" ht="15.7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72"/>
      <c r="N537" s="2"/>
      <c r="O537" s="2"/>
      <c r="P537" s="2"/>
      <c r="Q537" s="2"/>
      <c r="R537" s="2"/>
      <c r="S537" s="2"/>
      <c r="T537" s="2"/>
      <c r="U537" s="2"/>
      <c r="V537" s="2"/>
    </row>
    <row r="538" spans="1:22" ht="15.7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72"/>
      <c r="N538" s="2"/>
      <c r="O538" s="2"/>
      <c r="P538" s="2"/>
      <c r="Q538" s="2"/>
      <c r="R538" s="2"/>
      <c r="S538" s="2"/>
      <c r="T538" s="2"/>
      <c r="U538" s="2"/>
      <c r="V538" s="2"/>
    </row>
    <row r="539" spans="1:22" ht="15.7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72"/>
      <c r="N539" s="2"/>
      <c r="O539" s="2"/>
      <c r="P539" s="2"/>
      <c r="Q539" s="2"/>
      <c r="R539" s="2"/>
      <c r="S539" s="2"/>
      <c r="T539" s="2"/>
      <c r="U539" s="2"/>
      <c r="V539" s="2"/>
    </row>
    <row r="540" spans="1:22" ht="15.7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72"/>
      <c r="N540" s="2"/>
      <c r="O540" s="2"/>
      <c r="P540" s="2"/>
      <c r="Q540" s="2"/>
      <c r="R540" s="2"/>
      <c r="S540" s="2"/>
      <c r="T540" s="2"/>
      <c r="U540" s="2"/>
      <c r="V540" s="2"/>
    </row>
    <row r="541" spans="1:22" ht="15.7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72"/>
      <c r="N541" s="2"/>
      <c r="O541" s="2"/>
      <c r="P541" s="2"/>
      <c r="Q541" s="2"/>
      <c r="R541" s="2"/>
      <c r="S541" s="2"/>
      <c r="T541" s="2"/>
      <c r="U541" s="2"/>
      <c r="V541" s="2"/>
    </row>
    <row r="542" spans="1:22" ht="15.7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72"/>
      <c r="N542" s="2"/>
      <c r="O542" s="2"/>
      <c r="P542" s="2"/>
      <c r="Q542" s="2"/>
      <c r="R542" s="2"/>
      <c r="S542" s="2"/>
      <c r="T542" s="2"/>
      <c r="U542" s="2"/>
      <c r="V542" s="2"/>
    </row>
    <row r="543" spans="1:22" ht="15.7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72"/>
      <c r="N543" s="2"/>
      <c r="O543" s="2"/>
      <c r="P543" s="2"/>
      <c r="Q543" s="2"/>
      <c r="R543" s="2"/>
      <c r="S543" s="2"/>
      <c r="T543" s="2"/>
      <c r="U543" s="2"/>
      <c r="V543" s="2"/>
    </row>
    <row r="544" spans="1:22" ht="15.7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72"/>
      <c r="N544" s="2"/>
      <c r="O544" s="2"/>
      <c r="P544" s="2"/>
      <c r="Q544" s="2"/>
      <c r="R544" s="2"/>
      <c r="S544" s="2"/>
      <c r="T544" s="2"/>
      <c r="U544" s="2"/>
      <c r="V544" s="2"/>
    </row>
    <row r="545" spans="1:22" ht="15.7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72"/>
      <c r="N545" s="2"/>
      <c r="O545" s="2"/>
      <c r="P545" s="2"/>
      <c r="Q545" s="2"/>
      <c r="R545" s="2"/>
      <c r="S545" s="2"/>
      <c r="T545" s="2"/>
      <c r="U545" s="2"/>
      <c r="V545" s="2"/>
    </row>
    <row r="546" spans="1:22" ht="15.7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72"/>
      <c r="N546" s="2"/>
      <c r="O546" s="2"/>
      <c r="P546" s="2"/>
      <c r="Q546" s="2"/>
      <c r="R546" s="2"/>
      <c r="S546" s="2"/>
      <c r="T546" s="2"/>
      <c r="U546" s="2"/>
      <c r="V546" s="2"/>
    </row>
    <row r="547" spans="1:22" ht="15.7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72"/>
      <c r="N547" s="2"/>
      <c r="O547" s="2"/>
      <c r="P547" s="2"/>
      <c r="Q547" s="2"/>
      <c r="R547" s="2"/>
      <c r="S547" s="2"/>
      <c r="T547" s="2"/>
      <c r="U547" s="2"/>
      <c r="V547" s="2"/>
    </row>
    <row r="548" spans="1:22" ht="15.7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72"/>
      <c r="N548" s="2"/>
      <c r="O548" s="2"/>
      <c r="P548" s="2"/>
      <c r="Q548" s="2"/>
      <c r="R548" s="2"/>
      <c r="S548" s="2"/>
      <c r="T548" s="2"/>
      <c r="U548" s="2"/>
      <c r="V548" s="2"/>
    </row>
    <row r="549" spans="1:22" ht="15.7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72"/>
      <c r="N549" s="2"/>
      <c r="O549" s="2"/>
      <c r="P549" s="2"/>
      <c r="Q549" s="2"/>
      <c r="R549" s="2"/>
      <c r="S549" s="2"/>
      <c r="T549" s="2"/>
      <c r="U549" s="2"/>
      <c r="V549" s="2"/>
    </row>
    <row r="550" spans="1:22" ht="15.7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72"/>
      <c r="N550" s="2"/>
      <c r="O550" s="2"/>
      <c r="P550" s="2"/>
      <c r="Q550" s="2"/>
      <c r="R550" s="2"/>
      <c r="S550" s="2"/>
      <c r="T550" s="2"/>
      <c r="U550" s="2"/>
      <c r="V550" s="2"/>
    </row>
    <row r="551" spans="1:22" ht="15.7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72"/>
      <c r="N551" s="2"/>
      <c r="O551" s="2"/>
      <c r="P551" s="2"/>
      <c r="Q551" s="2"/>
      <c r="R551" s="2"/>
      <c r="S551" s="2"/>
      <c r="T551" s="2"/>
      <c r="U551" s="2"/>
      <c r="V551" s="2"/>
    </row>
    <row r="552" spans="1:22" ht="15.7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72"/>
      <c r="N552" s="2"/>
      <c r="O552" s="2"/>
      <c r="P552" s="2"/>
      <c r="Q552" s="2"/>
      <c r="R552" s="2"/>
      <c r="S552" s="2"/>
      <c r="T552" s="2"/>
      <c r="U552" s="2"/>
      <c r="V552" s="2"/>
    </row>
    <row r="553" spans="1:22" ht="15.7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72"/>
      <c r="N553" s="2"/>
      <c r="O553" s="2"/>
      <c r="P553" s="2"/>
      <c r="Q553" s="2"/>
      <c r="R553" s="2"/>
      <c r="S553" s="2"/>
      <c r="T553" s="2"/>
      <c r="U553" s="2"/>
      <c r="V553" s="2"/>
    </row>
    <row r="554" spans="1:22" ht="15.7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72"/>
      <c r="N554" s="2"/>
      <c r="O554" s="2"/>
      <c r="P554" s="2"/>
      <c r="Q554" s="2"/>
      <c r="R554" s="2"/>
      <c r="S554" s="2"/>
      <c r="T554" s="2"/>
      <c r="U554" s="2"/>
      <c r="V554" s="2"/>
    </row>
    <row r="555" spans="1:22" ht="15.7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72"/>
      <c r="N555" s="2"/>
      <c r="O555" s="2"/>
      <c r="P555" s="2"/>
      <c r="Q555" s="2"/>
      <c r="R555" s="2"/>
      <c r="S555" s="2"/>
      <c r="T555" s="2"/>
      <c r="U555" s="2"/>
      <c r="V555" s="2"/>
    </row>
    <row r="556" spans="1:22" ht="15.7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72"/>
      <c r="N556" s="2"/>
      <c r="O556" s="2"/>
      <c r="P556" s="2"/>
      <c r="Q556" s="2"/>
      <c r="R556" s="2"/>
      <c r="S556" s="2"/>
      <c r="T556" s="2"/>
      <c r="U556" s="2"/>
      <c r="V556" s="2"/>
    </row>
    <row r="557" spans="1:22" ht="15.7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72"/>
      <c r="N557" s="2"/>
      <c r="O557" s="2"/>
      <c r="P557" s="2"/>
      <c r="Q557" s="2"/>
      <c r="R557" s="2"/>
      <c r="S557" s="2"/>
      <c r="T557" s="2"/>
      <c r="U557" s="2"/>
      <c r="V557" s="2"/>
    </row>
    <row r="558" spans="1:22" ht="15.7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72"/>
      <c r="N558" s="2"/>
      <c r="O558" s="2"/>
      <c r="P558" s="2"/>
      <c r="Q558" s="2"/>
      <c r="R558" s="2"/>
      <c r="S558" s="2"/>
      <c r="T558" s="2"/>
      <c r="U558" s="2"/>
      <c r="V558" s="2"/>
    </row>
    <row r="559" spans="1:22" ht="15.7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72"/>
      <c r="N559" s="2"/>
      <c r="O559" s="2"/>
      <c r="P559" s="2"/>
      <c r="Q559" s="2"/>
      <c r="R559" s="2"/>
      <c r="S559" s="2"/>
      <c r="T559" s="2"/>
      <c r="U559" s="2"/>
      <c r="V559" s="2"/>
    </row>
    <row r="560" spans="1:22" ht="15.7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72"/>
      <c r="N560" s="2"/>
      <c r="O560" s="2"/>
      <c r="P560" s="2"/>
      <c r="Q560" s="2"/>
      <c r="R560" s="2"/>
      <c r="S560" s="2"/>
      <c r="T560" s="2"/>
      <c r="U560" s="2"/>
      <c r="V560" s="2"/>
    </row>
    <row r="561" spans="1:22" ht="15.7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72"/>
      <c r="N561" s="2"/>
      <c r="O561" s="2"/>
      <c r="P561" s="2"/>
      <c r="Q561" s="2"/>
      <c r="R561" s="2"/>
      <c r="S561" s="2"/>
      <c r="T561" s="2"/>
      <c r="U561" s="2"/>
      <c r="V561" s="2"/>
    </row>
    <row r="562" spans="1:22" ht="15.7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72"/>
      <c r="N562" s="2"/>
      <c r="O562" s="2"/>
      <c r="P562" s="2"/>
      <c r="Q562" s="2"/>
      <c r="R562" s="2"/>
      <c r="S562" s="2"/>
      <c r="T562" s="2"/>
      <c r="U562" s="2"/>
      <c r="V562" s="2"/>
    </row>
    <row r="563" spans="1:22" ht="15.7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72"/>
      <c r="N563" s="2"/>
      <c r="O563" s="2"/>
      <c r="P563" s="2"/>
      <c r="Q563" s="2"/>
      <c r="R563" s="2"/>
      <c r="S563" s="2"/>
      <c r="T563" s="2"/>
      <c r="U563" s="2"/>
      <c r="V563" s="2"/>
    </row>
    <row r="564" spans="1:22" ht="15.7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72"/>
      <c r="N564" s="2"/>
      <c r="O564" s="2"/>
      <c r="P564" s="2"/>
      <c r="Q564" s="2"/>
      <c r="R564" s="2"/>
      <c r="S564" s="2"/>
      <c r="T564" s="2"/>
      <c r="U564" s="2"/>
      <c r="V564" s="2"/>
    </row>
    <row r="565" spans="1:22" ht="15.7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72"/>
      <c r="N565" s="2"/>
      <c r="O565" s="2"/>
      <c r="P565" s="2"/>
      <c r="Q565" s="2"/>
      <c r="R565" s="2"/>
      <c r="S565" s="2"/>
      <c r="T565" s="2"/>
      <c r="U565" s="2"/>
      <c r="V565" s="2"/>
    </row>
    <row r="566" spans="1:22" ht="15.7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72"/>
      <c r="N566" s="2"/>
      <c r="O566" s="2"/>
      <c r="P566" s="2"/>
      <c r="Q566" s="2"/>
      <c r="R566" s="2"/>
      <c r="S566" s="2"/>
      <c r="T566" s="2"/>
      <c r="U566" s="2"/>
      <c r="V566" s="2"/>
    </row>
    <row r="567" spans="1:22" ht="15.7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72"/>
      <c r="N567" s="2"/>
      <c r="O567" s="2"/>
      <c r="P567" s="2"/>
      <c r="Q567" s="2"/>
      <c r="R567" s="2"/>
      <c r="S567" s="2"/>
      <c r="T567" s="2"/>
      <c r="U567" s="2"/>
      <c r="V567" s="2"/>
    </row>
    <row r="568" spans="1:22" ht="15.7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72"/>
      <c r="N568" s="2"/>
      <c r="O568" s="2"/>
      <c r="P568" s="2"/>
      <c r="Q568" s="2"/>
      <c r="R568" s="2"/>
      <c r="S568" s="2"/>
      <c r="T568" s="2"/>
      <c r="U568" s="2"/>
      <c r="V568" s="2"/>
    </row>
    <row r="569" spans="1:22" ht="15.7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72"/>
      <c r="N569" s="2"/>
      <c r="O569" s="2"/>
      <c r="P569" s="2"/>
      <c r="Q569" s="2"/>
      <c r="R569" s="2"/>
      <c r="S569" s="2"/>
      <c r="T569" s="2"/>
      <c r="U569" s="2"/>
      <c r="V569" s="2"/>
    </row>
    <row r="570" spans="1:22" ht="15.7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72"/>
      <c r="N570" s="2"/>
      <c r="O570" s="2"/>
      <c r="P570" s="2"/>
      <c r="Q570" s="2"/>
      <c r="R570" s="2"/>
      <c r="S570" s="2"/>
      <c r="T570" s="2"/>
      <c r="U570" s="2"/>
      <c r="V570" s="2"/>
    </row>
    <row r="571" spans="1:22" ht="15.7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72"/>
      <c r="N571" s="2"/>
      <c r="O571" s="2"/>
      <c r="P571" s="2"/>
      <c r="Q571" s="2"/>
      <c r="R571" s="2"/>
      <c r="S571" s="2"/>
      <c r="T571" s="2"/>
      <c r="U571" s="2"/>
      <c r="V571" s="2"/>
    </row>
    <row r="572" spans="1:22" ht="15.7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72"/>
      <c r="N572" s="2"/>
      <c r="O572" s="2"/>
      <c r="P572" s="2"/>
      <c r="Q572" s="2"/>
      <c r="R572" s="2"/>
      <c r="S572" s="2"/>
      <c r="T572" s="2"/>
      <c r="U572" s="2"/>
      <c r="V572" s="2"/>
    </row>
    <row r="573" spans="1:22" ht="15.7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72"/>
      <c r="N573" s="2"/>
      <c r="O573" s="2"/>
      <c r="P573" s="2"/>
      <c r="Q573" s="2"/>
      <c r="R573" s="2"/>
      <c r="S573" s="2"/>
      <c r="T573" s="2"/>
      <c r="U573" s="2"/>
      <c r="V573" s="2"/>
    </row>
    <row r="574" spans="1:22" ht="15.7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72"/>
      <c r="N574" s="2"/>
      <c r="O574" s="2"/>
      <c r="P574" s="2"/>
      <c r="Q574" s="2"/>
      <c r="R574" s="2"/>
      <c r="S574" s="2"/>
      <c r="T574" s="2"/>
      <c r="U574" s="2"/>
      <c r="V574" s="2"/>
    </row>
    <row r="575" spans="1:22" ht="15.7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72"/>
      <c r="N575" s="2"/>
      <c r="O575" s="2"/>
      <c r="P575" s="2"/>
      <c r="Q575" s="2"/>
      <c r="R575" s="2"/>
      <c r="S575" s="2"/>
      <c r="T575" s="2"/>
      <c r="U575" s="2"/>
      <c r="V575" s="2"/>
    </row>
    <row r="576" spans="1:22" ht="15.7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72"/>
      <c r="N576" s="2"/>
      <c r="O576" s="2"/>
      <c r="P576" s="2"/>
      <c r="Q576" s="2"/>
      <c r="R576" s="2"/>
      <c r="S576" s="2"/>
      <c r="T576" s="2"/>
      <c r="U576" s="2"/>
      <c r="V576" s="2"/>
    </row>
    <row r="577" spans="1:22" ht="15.7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72"/>
      <c r="N577" s="2"/>
      <c r="O577" s="2"/>
      <c r="P577" s="2"/>
      <c r="Q577" s="2"/>
      <c r="R577" s="2"/>
      <c r="S577" s="2"/>
      <c r="T577" s="2"/>
      <c r="U577" s="2"/>
      <c r="V577" s="2"/>
    </row>
    <row r="578" spans="1:22" ht="15.7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72"/>
      <c r="N578" s="2"/>
      <c r="O578" s="2"/>
      <c r="P578" s="2"/>
      <c r="Q578" s="2"/>
      <c r="R578" s="2"/>
      <c r="S578" s="2"/>
      <c r="T578" s="2"/>
      <c r="U578" s="2"/>
      <c r="V578" s="2"/>
    </row>
    <row r="579" spans="1:22" ht="15.7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72"/>
      <c r="N579" s="2"/>
      <c r="O579" s="2"/>
      <c r="P579" s="2"/>
      <c r="Q579" s="2"/>
      <c r="R579" s="2"/>
      <c r="S579" s="2"/>
      <c r="T579" s="2"/>
      <c r="U579" s="2"/>
      <c r="V579" s="2"/>
    </row>
    <row r="580" spans="1:22" ht="15.7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72"/>
      <c r="N580" s="2"/>
      <c r="O580" s="2"/>
      <c r="P580" s="2"/>
      <c r="Q580" s="2"/>
      <c r="R580" s="2"/>
      <c r="S580" s="2"/>
      <c r="T580" s="2"/>
      <c r="U580" s="2"/>
      <c r="V580" s="2"/>
    </row>
    <row r="581" spans="1:22" ht="15.7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72"/>
      <c r="N581" s="2"/>
      <c r="O581" s="2"/>
      <c r="P581" s="2"/>
      <c r="Q581" s="2"/>
      <c r="R581" s="2"/>
      <c r="S581" s="2"/>
      <c r="T581" s="2"/>
      <c r="U581" s="2"/>
      <c r="V581" s="2"/>
    </row>
    <row r="582" spans="1:22" ht="15.7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72"/>
      <c r="N582" s="2"/>
      <c r="O582" s="2"/>
      <c r="P582" s="2"/>
      <c r="Q582" s="2"/>
      <c r="R582" s="2"/>
      <c r="S582" s="2"/>
      <c r="T582" s="2"/>
      <c r="U582" s="2"/>
      <c r="V582" s="2"/>
    </row>
    <row r="583" spans="1:22" ht="15.7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72"/>
      <c r="N583" s="2"/>
      <c r="O583" s="2"/>
      <c r="P583" s="2"/>
      <c r="Q583" s="2"/>
      <c r="R583" s="2"/>
      <c r="S583" s="2"/>
      <c r="T583" s="2"/>
      <c r="U583" s="2"/>
      <c r="V583" s="2"/>
    </row>
    <row r="584" spans="1:22" ht="15.7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72"/>
      <c r="N584" s="2"/>
      <c r="O584" s="2"/>
      <c r="P584" s="2"/>
      <c r="Q584" s="2"/>
      <c r="R584" s="2"/>
      <c r="S584" s="2"/>
      <c r="T584" s="2"/>
      <c r="U584" s="2"/>
      <c r="V584" s="2"/>
    </row>
    <row r="585" spans="1:22" ht="15.7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72"/>
      <c r="N585" s="2"/>
      <c r="O585" s="2"/>
      <c r="P585" s="2"/>
      <c r="Q585" s="2"/>
      <c r="R585" s="2"/>
      <c r="S585" s="2"/>
      <c r="T585" s="2"/>
      <c r="U585" s="2"/>
      <c r="V585" s="2"/>
    </row>
    <row r="586" spans="1:22" ht="15.7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72"/>
      <c r="N586" s="2"/>
      <c r="O586" s="2"/>
      <c r="P586" s="2"/>
      <c r="Q586" s="2"/>
      <c r="R586" s="2"/>
      <c r="S586" s="2"/>
      <c r="T586" s="2"/>
      <c r="U586" s="2"/>
      <c r="V586" s="2"/>
    </row>
    <row r="587" spans="1:22" ht="15.7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72"/>
      <c r="N587" s="2"/>
      <c r="O587" s="2"/>
      <c r="P587" s="2"/>
      <c r="Q587" s="2"/>
      <c r="R587" s="2"/>
      <c r="S587" s="2"/>
      <c r="T587" s="2"/>
      <c r="U587" s="2"/>
      <c r="V587" s="2"/>
    </row>
    <row r="588" spans="1:22" ht="15.7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72"/>
      <c r="N588" s="2"/>
      <c r="O588" s="2"/>
      <c r="P588" s="2"/>
      <c r="Q588" s="2"/>
      <c r="R588" s="2"/>
      <c r="S588" s="2"/>
      <c r="T588" s="2"/>
      <c r="U588" s="2"/>
      <c r="V588" s="2"/>
    </row>
    <row r="589" spans="1:22" ht="15.7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72"/>
      <c r="N589" s="2"/>
      <c r="O589" s="2"/>
      <c r="P589" s="2"/>
      <c r="Q589" s="2"/>
      <c r="R589" s="2"/>
      <c r="S589" s="2"/>
      <c r="T589" s="2"/>
      <c r="U589" s="2"/>
      <c r="V589" s="2"/>
    </row>
    <row r="590" spans="1:22" ht="15.7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72"/>
      <c r="N590" s="2"/>
      <c r="O590" s="2"/>
      <c r="P590" s="2"/>
      <c r="Q590" s="2"/>
      <c r="R590" s="2"/>
      <c r="S590" s="2"/>
      <c r="T590" s="2"/>
      <c r="U590" s="2"/>
      <c r="V590" s="2"/>
    </row>
    <row r="591" spans="1:22" ht="15.7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72"/>
      <c r="N591" s="2"/>
      <c r="O591" s="2"/>
      <c r="P591" s="2"/>
      <c r="Q591" s="2"/>
      <c r="R591" s="2"/>
      <c r="S591" s="2"/>
      <c r="T591" s="2"/>
      <c r="U591" s="2"/>
      <c r="V591" s="2"/>
    </row>
    <row r="592" spans="1:22" ht="15.7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72"/>
      <c r="N592" s="2"/>
      <c r="O592" s="2"/>
      <c r="P592" s="2"/>
      <c r="Q592" s="2"/>
      <c r="R592" s="2"/>
      <c r="S592" s="2"/>
      <c r="T592" s="2"/>
      <c r="U592" s="2"/>
      <c r="V592" s="2"/>
    </row>
    <row r="593" spans="1:22" ht="15.7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72"/>
      <c r="N593" s="2"/>
      <c r="O593" s="2"/>
      <c r="P593" s="2"/>
      <c r="Q593" s="2"/>
      <c r="R593" s="2"/>
      <c r="S593" s="2"/>
      <c r="T593" s="2"/>
      <c r="U593" s="2"/>
      <c r="V593" s="2"/>
    </row>
    <row r="594" spans="1:22" ht="15.7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72"/>
      <c r="N594" s="2"/>
      <c r="O594" s="2"/>
      <c r="P594" s="2"/>
      <c r="Q594" s="2"/>
      <c r="R594" s="2"/>
      <c r="S594" s="2"/>
      <c r="T594" s="2"/>
      <c r="U594" s="2"/>
      <c r="V594" s="2"/>
    </row>
    <row r="595" spans="1:22" ht="15.7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72"/>
      <c r="N595" s="2"/>
      <c r="O595" s="2"/>
      <c r="P595" s="2"/>
      <c r="Q595" s="2"/>
      <c r="R595" s="2"/>
      <c r="S595" s="2"/>
      <c r="T595" s="2"/>
      <c r="U595" s="2"/>
      <c r="V595" s="2"/>
    </row>
    <row r="596" spans="1:22" ht="15.7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72"/>
      <c r="N596" s="2"/>
      <c r="O596" s="2"/>
      <c r="P596" s="2"/>
      <c r="Q596" s="2"/>
      <c r="R596" s="2"/>
      <c r="S596" s="2"/>
      <c r="T596" s="2"/>
      <c r="U596" s="2"/>
      <c r="V596" s="2"/>
    </row>
    <row r="597" spans="1:22" ht="15.7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72"/>
      <c r="N597" s="2"/>
      <c r="O597" s="2"/>
      <c r="P597" s="2"/>
      <c r="Q597" s="2"/>
      <c r="R597" s="2"/>
      <c r="S597" s="2"/>
      <c r="T597" s="2"/>
      <c r="U597" s="2"/>
      <c r="V597" s="2"/>
    </row>
    <row r="598" spans="1:22" ht="15.7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72"/>
      <c r="N598" s="2"/>
      <c r="O598" s="2"/>
      <c r="P598" s="2"/>
      <c r="Q598" s="2"/>
      <c r="R598" s="2"/>
      <c r="S598" s="2"/>
      <c r="T598" s="2"/>
      <c r="U598" s="2"/>
      <c r="V598" s="2"/>
    </row>
    <row r="599" spans="1:22" ht="15.7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72"/>
      <c r="N599" s="2"/>
      <c r="O599" s="2"/>
      <c r="P599" s="2"/>
      <c r="Q599" s="2"/>
      <c r="R599" s="2"/>
      <c r="S599" s="2"/>
      <c r="T599" s="2"/>
      <c r="U599" s="2"/>
      <c r="V599" s="2"/>
    </row>
    <row r="600" spans="1:22" ht="15.7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72"/>
      <c r="N600" s="2"/>
      <c r="O600" s="2"/>
      <c r="P600" s="2"/>
      <c r="Q600" s="2"/>
      <c r="R600" s="2"/>
      <c r="S600" s="2"/>
      <c r="T600" s="2"/>
      <c r="U600" s="2"/>
      <c r="V600" s="2"/>
    </row>
    <row r="601" spans="1:22" ht="15.7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72"/>
      <c r="N601" s="2"/>
      <c r="O601" s="2"/>
      <c r="P601" s="2"/>
      <c r="Q601" s="2"/>
      <c r="R601" s="2"/>
      <c r="S601" s="2"/>
      <c r="T601" s="2"/>
      <c r="U601" s="2"/>
      <c r="V601" s="2"/>
    </row>
    <row r="602" spans="1:22" ht="15.7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72"/>
      <c r="N602" s="2"/>
      <c r="O602" s="2"/>
      <c r="P602" s="2"/>
      <c r="Q602" s="2"/>
      <c r="R602" s="2"/>
      <c r="S602" s="2"/>
      <c r="T602" s="2"/>
      <c r="U602" s="2"/>
      <c r="V602" s="2"/>
    </row>
    <row r="603" spans="1:22" ht="15.7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72"/>
      <c r="N603" s="2"/>
      <c r="O603" s="2"/>
      <c r="P603" s="2"/>
      <c r="Q603" s="2"/>
      <c r="R603" s="2"/>
      <c r="S603" s="2"/>
      <c r="T603" s="2"/>
      <c r="U603" s="2"/>
      <c r="V603" s="2"/>
    </row>
    <row r="604" spans="1:22" ht="15.7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72"/>
      <c r="N604" s="2"/>
      <c r="O604" s="2"/>
      <c r="P604" s="2"/>
      <c r="Q604" s="2"/>
      <c r="R604" s="2"/>
      <c r="S604" s="2"/>
      <c r="T604" s="2"/>
      <c r="U604" s="2"/>
      <c r="V604" s="2"/>
    </row>
    <row r="605" spans="1:22" ht="15.7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72"/>
      <c r="N605" s="2"/>
      <c r="O605" s="2"/>
      <c r="P605" s="2"/>
      <c r="Q605" s="2"/>
      <c r="R605" s="2"/>
      <c r="S605" s="2"/>
      <c r="T605" s="2"/>
      <c r="U605" s="2"/>
      <c r="V605" s="2"/>
    </row>
    <row r="606" spans="1:22" ht="15.7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72"/>
      <c r="N606" s="2"/>
      <c r="O606" s="2"/>
      <c r="P606" s="2"/>
      <c r="Q606" s="2"/>
      <c r="R606" s="2"/>
      <c r="S606" s="2"/>
      <c r="T606" s="2"/>
      <c r="U606" s="2"/>
      <c r="V606" s="2"/>
    </row>
    <row r="607" spans="1:22" ht="15.7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72"/>
      <c r="N607" s="2"/>
      <c r="O607" s="2"/>
      <c r="P607" s="2"/>
      <c r="Q607" s="2"/>
      <c r="R607" s="2"/>
      <c r="S607" s="2"/>
      <c r="T607" s="2"/>
      <c r="U607" s="2"/>
      <c r="V607" s="2"/>
    </row>
    <row r="608" spans="1:22" ht="15.7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72"/>
      <c r="N608" s="2"/>
      <c r="O608" s="2"/>
      <c r="P608" s="2"/>
      <c r="Q608" s="2"/>
      <c r="R608" s="2"/>
      <c r="S608" s="2"/>
      <c r="T608" s="2"/>
      <c r="U608" s="2"/>
      <c r="V608" s="2"/>
    </row>
    <row r="609" spans="1:22" ht="15.7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72"/>
      <c r="N609" s="2"/>
      <c r="O609" s="2"/>
      <c r="P609" s="2"/>
      <c r="Q609" s="2"/>
      <c r="R609" s="2"/>
      <c r="S609" s="2"/>
      <c r="T609" s="2"/>
      <c r="U609" s="2"/>
      <c r="V609" s="2"/>
    </row>
    <row r="610" spans="1:22" ht="15.7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72"/>
      <c r="N610" s="2"/>
      <c r="O610" s="2"/>
      <c r="P610" s="2"/>
      <c r="Q610" s="2"/>
      <c r="R610" s="2"/>
      <c r="S610" s="2"/>
      <c r="T610" s="2"/>
      <c r="U610" s="2"/>
      <c r="V610" s="2"/>
    </row>
    <row r="611" spans="1:22" ht="15.7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72"/>
      <c r="N611" s="2"/>
      <c r="O611" s="2"/>
      <c r="P611" s="2"/>
      <c r="Q611" s="2"/>
      <c r="R611" s="2"/>
      <c r="S611" s="2"/>
      <c r="T611" s="2"/>
      <c r="U611" s="2"/>
      <c r="V611" s="2"/>
    </row>
    <row r="612" spans="1:22" ht="15.7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72"/>
      <c r="N612" s="2"/>
      <c r="O612" s="2"/>
      <c r="P612" s="2"/>
      <c r="Q612" s="2"/>
      <c r="R612" s="2"/>
      <c r="S612" s="2"/>
      <c r="T612" s="2"/>
      <c r="U612" s="2"/>
      <c r="V612" s="2"/>
    </row>
    <row r="613" spans="1:22" ht="15.7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72"/>
      <c r="N613" s="2"/>
      <c r="O613" s="2"/>
      <c r="P613" s="2"/>
      <c r="Q613" s="2"/>
      <c r="R613" s="2"/>
      <c r="S613" s="2"/>
      <c r="T613" s="2"/>
      <c r="U613" s="2"/>
      <c r="V613" s="2"/>
    </row>
    <row r="614" spans="1:22" ht="15.7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72"/>
      <c r="N614" s="2"/>
      <c r="O614" s="2"/>
      <c r="P614" s="2"/>
      <c r="Q614" s="2"/>
      <c r="R614" s="2"/>
      <c r="S614" s="2"/>
      <c r="T614" s="2"/>
      <c r="U614" s="2"/>
      <c r="V614" s="2"/>
    </row>
    <row r="615" spans="1:22" ht="15.7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72"/>
      <c r="N615" s="2"/>
      <c r="O615" s="2"/>
      <c r="P615" s="2"/>
      <c r="Q615" s="2"/>
      <c r="R615" s="2"/>
      <c r="S615" s="2"/>
      <c r="T615" s="2"/>
      <c r="U615" s="2"/>
      <c r="V615" s="2"/>
    </row>
    <row r="616" spans="1:22" ht="15.7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72"/>
      <c r="N616" s="2"/>
      <c r="O616" s="2"/>
      <c r="P616" s="2"/>
      <c r="Q616" s="2"/>
      <c r="R616" s="2"/>
      <c r="S616" s="2"/>
      <c r="T616" s="2"/>
      <c r="U616" s="2"/>
      <c r="V616" s="2"/>
    </row>
    <row r="617" spans="1:22" ht="15.7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72"/>
      <c r="N617" s="2"/>
      <c r="O617" s="2"/>
      <c r="P617" s="2"/>
      <c r="Q617" s="2"/>
      <c r="R617" s="2"/>
      <c r="S617" s="2"/>
      <c r="T617" s="2"/>
      <c r="U617" s="2"/>
      <c r="V617" s="2"/>
    </row>
    <row r="618" spans="1:22" ht="15.7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72"/>
      <c r="N618" s="2"/>
      <c r="O618" s="2"/>
      <c r="P618" s="2"/>
      <c r="Q618" s="2"/>
      <c r="R618" s="2"/>
      <c r="S618" s="2"/>
      <c r="T618" s="2"/>
      <c r="U618" s="2"/>
      <c r="V618" s="2"/>
    </row>
    <row r="619" spans="1:22" ht="15.7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72"/>
      <c r="N619" s="2"/>
      <c r="O619" s="2"/>
      <c r="P619" s="2"/>
      <c r="Q619" s="2"/>
      <c r="R619" s="2"/>
      <c r="S619" s="2"/>
      <c r="T619" s="2"/>
      <c r="U619" s="2"/>
      <c r="V619" s="2"/>
    </row>
    <row r="620" spans="1:22" ht="15.7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72"/>
      <c r="N620" s="2"/>
      <c r="O620" s="2"/>
      <c r="P620" s="2"/>
      <c r="Q620" s="2"/>
      <c r="R620" s="2"/>
      <c r="S620" s="2"/>
      <c r="T620" s="2"/>
      <c r="U620" s="2"/>
      <c r="V620" s="2"/>
    </row>
    <row r="621" spans="1:22" ht="15.7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72"/>
      <c r="N621" s="2"/>
      <c r="O621" s="2"/>
      <c r="P621" s="2"/>
      <c r="Q621" s="2"/>
      <c r="R621" s="2"/>
      <c r="S621" s="2"/>
      <c r="T621" s="2"/>
      <c r="U621" s="2"/>
      <c r="V621" s="2"/>
    </row>
    <row r="622" spans="1:22" ht="15.7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72"/>
      <c r="N622" s="2"/>
      <c r="O622" s="2"/>
      <c r="P622" s="2"/>
      <c r="Q622" s="2"/>
      <c r="R622" s="2"/>
      <c r="S622" s="2"/>
      <c r="T622" s="2"/>
      <c r="U622" s="2"/>
      <c r="V622" s="2"/>
    </row>
    <row r="623" spans="1:22" ht="15.7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72"/>
      <c r="N623" s="2"/>
      <c r="O623" s="2"/>
      <c r="P623" s="2"/>
      <c r="Q623" s="2"/>
      <c r="R623" s="2"/>
      <c r="S623" s="2"/>
      <c r="T623" s="2"/>
      <c r="U623" s="2"/>
      <c r="V623" s="2"/>
    </row>
    <row r="624" spans="1:22" ht="15.7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72"/>
      <c r="N624" s="2"/>
      <c r="O624" s="2"/>
      <c r="P624" s="2"/>
      <c r="Q624" s="2"/>
      <c r="R624" s="2"/>
      <c r="S624" s="2"/>
      <c r="T624" s="2"/>
      <c r="U624" s="2"/>
      <c r="V624" s="2"/>
    </row>
    <row r="625" spans="1:22" ht="15.7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72"/>
      <c r="N625" s="2"/>
      <c r="O625" s="2"/>
      <c r="P625" s="2"/>
      <c r="Q625" s="2"/>
      <c r="R625" s="2"/>
      <c r="S625" s="2"/>
      <c r="T625" s="2"/>
      <c r="U625" s="2"/>
      <c r="V625" s="2"/>
    </row>
    <row r="626" spans="1:22" ht="15.7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72"/>
      <c r="N626" s="2"/>
      <c r="O626" s="2"/>
      <c r="P626" s="2"/>
      <c r="Q626" s="2"/>
      <c r="R626" s="2"/>
      <c r="S626" s="2"/>
      <c r="T626" s="2"/>
      <c r="U626" s="2"/>
      <c r="V626" s="2"/>
    </row>
    <row r="627" spans="1:22" ht="15.7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72"/>
      <c r="N627" s="2"/>
      <c r="O627" s="2"/>
      <c r="P627" s="2"/>
      <c r="Q627" s="2"/>
      <c r="R627" s="2"/>
      <c r="S627" s="2"/>
      <c r="T627" s="2"/>
      <c r="U627" s="2"/>
      <c r="V627" s="2"/>
    </row>
    <row r="628" spans="1:22" ht="15.7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72"/>
      <c r="N628" s="2"/>
      <c r="O628" s="2"/>
      <c r="P628" s="2"/>
      <c r="Q628" s="2"/>
      <c r="R628" s="2"/>
      <c r="S628" s="2"/>
      <c r="T628" s="2"/>
      <c r="U628" s="2"/>
      <c r="V628" s="2"/>
    </row>
    <row r="629" spans="1:22" ht="15.7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72"/>
      <c r="N629" s="2"/>
      <c r="O629" s="2"/>
      <c r="P629" s="2"/>
      <c r="Q629" s="2"/>
      <c r="R629" s="2"/>
      <c r="S629" s="2"/>
      <c r="T629" s="2"/>
      <c r="U629" s="2"/>
      <c r="V629" s="2"/>
    </row>
    <row r="630" spans="1:22" ht="15.7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72"/>
      <c r="N630" s="2"/>
      <c r="O630" s="2"/>
      <c r="P630" s="2"/>
      <c r="Q630" s="2"/>
      <c r="R630" s="2"/>
      <c r="S630" s="2"/>
      <c r="T630" s="2"/>
      <c r="U630" s="2"/>
      <c r="V630" s="2"/>
    </row>
    <row r="631" spans="1:22" ht="15.7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72"/>
      <c r="N631" s="2"/>
      <c r="O631" s="2"/>
      <c r="P631" s="2"/>
      <c r="Q631" s="2"/>
      <c r="R631" s="2"/>
      <c r="S631" s="2"/>
      <c r="T631" s="2"/>
      <c r="U631" s="2"/>
      <c r="V631" s="2"/>
    </row>
    <row r="632" spans="1:22" ht="15.7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72"/>
      <c r="N632" s="2"/>
      <c r="O632" s="2"/>
      <c r="P632" s="2"/>
      <c r="Q632" s="2"/>
      <c r="R632" s="2"/>
      <c r="S632" s="2"/>
      <c r="T632" s="2"/>
      <c r="U632" s="2"/>
      <c r="V632" s="2"/>
    </row>
    <row r="633" spans="1:22" ht="15.7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72"/>
      <c r="N633" s="2"/>
      <c r="O633" s="2"/>
      <c r="P633" s="2"/>
      <c r="Q633" s="2"/>
      <c r="R633" s="2"/>
      <c r="S633" s="2"/>
      <c r="T633" s="2"/>
      <c r="U633" s="2"/>
      <c r="V633" s="2"/>
    </row>
    <row r="634" spans="1:22" ht="15.7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72"/>
      <c r="N634" s="2"/>
      <c r="O634" s="2"/>
      <c r="P634" s="2"/>
      <c r="Q634" s="2"/>
      <c r="R634" s="2"/>
      <c r="S634" s="2"/>
      <c r="T634" s="2"/>
      <c r="U634" s="2"/>
      <c r="V634" s="2"/>
    </row>
    <row r="635" spans="1:22" ht="15.7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72"/>
      <c r="N635" s="2"/>
      <c r="O635" s="2"/>
      <c r="P635" s="2"/>
      <c r="Q635" s="2"/>
      <c r="R635" s="2"/>
      <c r="S635" s="2"/>
      <c r="T635" s="2"/>
      <c r="U635" s="2"/>
      <c r="V635" s="2"/>
    </row>
    <row r="636" spans="1:22" ht="15.7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72"/>
      <c r="N636" s="2"/>
      <c r="O636" s="2"/>
      <c r="P636" s="2"/>
      <c r="Q636" s="2"/>
      <c r="R636" s="2"/>
      <c r="S636" s="2"/>
      <c r="T636" s="2"/>
      <c r="U636" s="2"/>
      <c r="V636" s="2"/>
    </row>
    <row r="637" spans="1:22" ht="15.7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72"/>
      <c r="N637" s="2"/>
      <c r="O637" s="2"/>
      <c r="P637" s="2"/>
      <c r="Q637" s="2"/>
      <c r="R637" s="2"/>
      <c r="S637" s="2"/>
      <c r="T637" s="2"/>
      <c r="U637" s="2"/>
      <c r="V637" s="2"/>
    </row>
    <row r="638" spans="1:22" ht="15.7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72"/>
      <c r="N638" s="2"/>
      <c r="O638" s="2"/>
      <c r="P638" s="2"/>
      <c r="Q638" s="2"/>
      <c r="R638" s="2"/>
      <c r="S638" s="2"/>
      <c r="T638" s="2"/>
      <c r="U638" s="2"/>
      <c r="V638" s="2"/>
    </row>
    <row r="639" spans="1:22" ht="15.7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72"/>
      <c r="N639" s="2"/>
      <c r="O639" s="2"/>
      <c r="P639" s="2"/>
      <c r="Q639" s="2"/>
      <c r="R639" s="2"/>
      <c r="S639" s="2"/>
      <c r="T639" s="2"/>
      <c r="U639" s="2"/>
      <c r="V639" s="2"/>
    </row>
    <row r="640" spans="1:22" ht="15.7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72"/>
      <c r="N640" s="2"/>
      <c r="O640" s="2"/>
      <c r="P640" s="2"/>
      <c r="Q640" s="2"/>
      <c r="R640" s="2"/>
      <c r="S640" s="2"/>
      <c r="T640" s="2"/>
      <c r="U640" s="2"/>
      <c r="V640" s="2"/>
    </row>
    <row r="641" spans="1:22" ht="15.7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72"/>
      <c r="N641" s="2"/>
      <c r="O641" s="2"/>
      <c r="P641" s="2"/>
      <c r="Q641" s="2"/>
      <c r="R641" s="2"/>
      <c r="S641" s="2"/>
      <c r="T641" s="2"/>
      <c r="U641" s="2"/>
      <c r="V641" s="2"/>
    </row>
    <row r="642" spans="1:22" ht="15.7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72"/>
      <c r="N642" s="2"/>
      <c r="O642" s="2"/>
      <c r="P642" s="2"/>
      <c r="Q642" s="2"/>
      <c r="R642" s="2"/>
      <c r="S642" s="2"/>
      <c r="T642" s="2"/>
      <c r="U642" s="2"/>
      <c r="V642" s="2"/>
    </row>
    <row r="643" spans="1:22" ht="15.7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72"/>
      <c r="N643" s="2"/>
      <c r="O643" s="2"/>
      <c r="P643" s="2"/>
      <c r="Q643" s="2"/>
      <c r="R643" s="2"/>
      <c r="S643" s="2"/>
      <c r="T643" s="2"/>
      <c r="U643" s="2"/>
      <c r="V643" s="2"/>
    </row>
    <row r="644" spans="1:22" ht="15.7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72"/>
      <c r="N644" s="2"/>
      <c r="O644" s="2"/>
      <c r="P644" s="2"/>
      <c r="Q644" s="2"/>
      <c r="R644" s="2"/>
      <c r="S644" s="2"/>
      <c r="T644" s="2"/>
      <c r="U644" s="2"/>
      <c r="V644" s="2"/>
    </row>
    <row r="645" spans="1:22" ht="15.7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72"/>
      <c r="N645" s="2"/>
      <c r="O645" s="2"/>
      <c r="P645" s="2"/>
      <c r="Q645" s="2"/>
      <c r="R645" s="2"/>
      <c r="S645" s="2"/>
      <c r="T645" s="2"/>
      <c r="U645" s="2"/>
      <c r="V645" s="2"/>
    </row>
    <row r="646" spans="1:22" ht="15.7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72"/>
      <c r="N646" s="2"/>
      <c r="O646" s="2"/>
      <c r="P646" s="2"/>
      <c r="Q646" s="2"/>
      <c r="R646" s="2"/>
      <c r="S646" s="2"/>
      <c r="T646" s="2"/>
      <c r="U646" s="2"/>
      <c r="V646" s="2"/>
    </row>
    <row r="647" spans="1:22" ht="15.7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72"/>
      <c r="N647" s="2"/>
      <c r="O647" s="2"/>
      <c r="P647" s="2"/>
      <c r="Q647" s="2"/>
      <c r="R647" s="2"/>
      <c r="S647" s="2"/>
      <c r="T647" s="2"/>
      <c r="U647" s="2"/>
      <c r="V647" s="2"/>
    </row>
    <row r="648" spans="1:22" ht="15.7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72"/>
      <c r="N648" s="2"/>
      <c r="O648" s="2"/>
      <c r="P648" s="2"/>
      <c r="Q648" s="2"/>
      <c r="R648" s="2"/>
      <c r="S648" s="2"/>
      <c r="T648" s="2"/>
      <c r="U648" s="2"/>
      <c r="V648" s="2"/>
    </row>
    <row r="649" spans="1:22" ht="15.7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72"/>
      <c r="N649" s="2"/>
      <c r="O649" s="2"/>
      <c r="P649" s="2"/>
      <c r="Q649" s="2"/>
      <c r="R649" s="2"/>
      <c r="S649" s="2"/>
      <c r="T649" s="2"/>
      <c r="U649" s="2"/>
      <c r="V649" s="2"/>
    </row>
    <row r="650" spans="1:22" ht="15.7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72"/>
      <c r="N650" s="2"/>
      <c r="O650" s="2"/>
      <c r="P650" s="2"/>
      <c r="Q650" s="2"/>
      <c r="R650" s="2"/>
      <c r="S650" s="2"/>
      <c r="T650" s="2"/>
      <c r="U650" s="2"/>
      <c r="V650" s="2"/>
    </row>
    <row r="651" spans="1:22" ht="15.7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72"/>
      <c r="N651" s="2"/>
      <c r="O651" s="2"/>
      <c r="P651" s="2"/>
      <c r="Q651" s="2"/>
      <c r="R651" s="2"/>
      <c r="S651" s="2"/>
      <c r="T651" s="2"/>
      <c r="U651" s="2"/>
      <c r="V651" s="2"/>
    </row>
    <row r="652" spans="1:22" ht="15.7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72"/>
      <c r="N652" s="2"/>
      <c r="O652" s="2"/>
      <c r="P652" s="2"/>
      <c r="Q652" s="2"/>
      <c r="R652" s="2"/>
      <c r="S652" s="2"/>
      <c r="T652" s="2"/>
      <c r="U652" s="2"/>
      <c r="V652" s="2"/>
    </row>
    <row r="653" spans="1:22" ht="15.7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72"/>
      <c r="N653" s="2"/>
      <c r="O653" s="2"/>
      <c r="P653" s="2"/>
      <c r="Q653" s="2"/>
      <c r="R653" s="2"/>
      <c r="S653" s="2"/>
      <c r="T653" s="2"/>
      <c r="U653" s="2"/>
      <c r="V653" s="2"/>
    </row>
    <row r="654" spans="1:22" ht="15.7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72"/>
      <c r="N654" s="2"/>
      <c r="O654" s="2"/>
      <c r="P654" s="2"/>
      <c r="Q654" s="2"/>
      <c r="R654" s="2"/>
      <c r="S654" s="2"/>
      <c r="T654" s="2"/>
      <c r="U654" s="2"/>
      <c r="V654" s="2"/>
    </row>
    <row r="655" spans="1:22" ht="15.7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72"/>
      <c r="N655" s="2"/>
      <c r="O655" s="2"/>
      <c r="P655" s="2"/>
      <c r="Q655" s="2"/>
      <c r="R655" s="2"/>
      <c r="S655" s="2"/>
      <c r="T655" s="2"/>
      <c r="U655" s="2"/>
      <c r="V655" s="2"/>
    </row>
    <row r="656" spans="1:22" ht="15.7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72"/>
      <c r="N656" s="2"/>
      <c r="O656" s="2"/>
      <c r="P656" s="2"/>
      <c r="Q656" s="2"/>
      <c r="R656" s="2"/>
      <c r="S656" s="2"/>
      <c r="T656" s="2"/>
      <c r="U656" s="2"/>
      <c r="V656" s="2"/>
    </row>
    <row r="657" spans="1:22" ht="15.7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72"/>
      <c r="N657" s="2"/>
      <c r="O657" s="2"/>
      <c r="P657" s="2"/>
      <c r="Q657" s="2"/>
      <c r="R657" s="2"/>
      <c r="S657" s="2"/>
      <c r="T657" s="2"/>
      <c r="U657" s="2"/>
      <c r="V657" s="2"/>
    </row>
    <row r="658" spans="1:22" ht="15.7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72"/>
      <c r="N658" s="2"/>
      <c r="O658" s="2"/>
      <c r="P658" s="2"/>
      <c r="Q658" s="2"/>
      <c r="R658" s="2"/>
      <c r="S658" s="2"/>
      <c r="T658" s="2"/>
      <c r="U658" s="2"/>
      <c r="V658" s="2"/>
    </row>
    <row r="659" spans="1:22" ht="15.7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72"/>
      <c r="N659" s="2"/>
      <c r="O659" s="2"/>
      <c r="P659" s="2"/>
      <c r="Q659" s="2"/>
      <c r="R659" s="2"/>
      <c r="S659" s="2"/>
      <c r="T659" s="2"/>
      <c r="U659" s="2"/>
      <c r="V659" s="2"/>
    </row>
    <row r="660" spans="1:22" ht="15.7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72"/>
      <c r="N660" s="2"/>
      <c r="O660" s="2"/>
      <c r="P660" s="2"/>
      <c r="Q660" s="2"/>
      <c r="R660" s="2"/>
      <c r="S660" s="2"/>
      <c r="T660" s="2"/>
      <c r="U660" s="2"/>
      <c r="V660" s="2"/>
    </row>
    <row r="661" spans="1:22" ht="15.7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72"/>
      <c r="N661" s="2"/>
      <c r="O661" s="2"/>
      <c r="P661" s="2"/>
      <c r="Q661" s="2"/>
      <c r="R661" s="2"/>
      <c r="S661" s="2"/>
      <c r="T661" s="2"/>
      <c r="U661" s="2"/>
      <c r="V661" s="2"/>
    </row>
    <row r="662" spans="1:22" ht="15.7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72"/>
      <c r="N662" s="2"/>
      <c r="O662" s="2"/>
      <c r="P662" s="2"/>
      <c r="Q662" s="2"/>
      <c r="R662" s="2"/>
      <c r="S662" s="2"/>
      <c r="T662" s="2"/>
      <c r="U662" s="2"/>
      <c r="V662" s="2"/>
    </row>
    <row r="663" spans="1:22" ht="15.7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72"/>
      <c r="N663" s="2"/>
      <c r="O663" s="2"/>
      <c r="P663" s="2"/>
      <c r="Q663" s="2"/>
      <c r="R663" s="2"/>
      <c r="S663" s="2"/>
      <c r="T663" s="2"/>
      <c r="U663" s="2"/>
      <c r="V663" s="2"/>
    </row>
    <row r="664" spans="1:22" ht="15.7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72"/>
      <c r="N664" s="2"/>
      <c r="O664" s="2"/>
      <c r="P664" s="2"/>
      <c r="Q664" s="2"/>
      <c r="R664" s="2"/>
      <c r="S664" s="2"/>
      <c r="T664" s="2"/>
      <c r="U664" s="2"/>
      <c r="V664" s="2"/>
    </row>
    <row r="665" spans="1:22" ht="15.7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72"/>
      <c r="N665" s="2"/>
      <c r="O665" s="2"/>
      <c r="P665" s="2"/>
      <c r="Q665" s="2"/>
      <c r="R665" s="2"/>
      <c r="S665" s="2"/>
      <c r="T665" s="2"/>
      <c r="U665" s="2"/>
      <c r="V665" s="2"/>
    </row>
    <row r="666" spans="1:22" ht="15.7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72"/>
      <c r="N666" s="2"/>
      <c r="O666" s="2"/>
      <c r="P666" s="2"/>
      <c r="Q666" s="2"/>
      <c r="R666" s="2"/>
      <c r="S666" s="2"/>
      <c r="T666" s="2"/>
      <c r="U666" s="2"/>
      <c r="V666" s="2"/>
    </row>
    <row r="667" spans="1:22" ht="15.7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72"/>
      <c r="N667" s="2"/>
      <c r="O667" s="2"/>
      <c r="P667" s="2"/>
      <c r="Q667" s="2"/>
      <c r="R667" s="2"/>
      <c r="S667" s="2"/>
      <c r="T667" s="2"/>
      <c r="U667" s="2"/>
      <c r="V667" s="2"/>
    </row>
    <row r="668" spans="1:22" ht="15.7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72"/>
      <c r="N668" s="2"/>
      <c r="O668" s="2"/>
      <c r="P668" s="2"/>
      <c r="Q668" s="2"/>
      <c r="R668" s="2"/>
      <c r="S668" s="2"/>
      <c r="T668" s="2"/>
      <c r="U668" s="2"/>
      <c r="V668" s="2"/>
    </row>
    <row r="669" spans="1:22" ht="15.7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72"/>
      <c r="N669" s="2"/>
      <c r="O669" s="2"/>
      <c r="P669" s="2"/>
      <c r="Q669" s="2"/>
      <c r="R669" s="2"/>
      <c r="S669" s="2"/>
      <c r="T669" s="2"/>
      <c r="U669" s="2"/>
      <c r="V669" s="2"/>
    </row>
    <row r="670" spans="1:22" ht="15.7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72"/>
      <c r="N670" s="2"/>
      <c r="O670" s="2"/>
      <c r="P670" s="2"/>
      <c r="Q670" s="2"/>
      <c r="R670" s="2"/>
      <c r="S670" s="2"/>
      <c r="T670" s="2"/>
      <c r="U670" s="2"/>
      <c r="V670" s="2"/>
    </row>
    <row r="671" spans="1:22" ht="15.7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72"/>
      <c r="N671" s="2"/>
      <c r="O671" s="2"/>
      <c r="P671" s="2"/>
      <c r="Q671" s="2"/>
      <c r="R671" s="2"/>
      <c r="S671" s="2"/>
      <c r="T671" s="2"/>
      <c r="U671" s="2"/>
      <c r="V671" s="2"/>
    </row>
    <row r="672" spans="1:22" ht="15.7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72"/>
      <c r="N672" s="2"/>
      <c r="O672" s="2"/>
      <c r="P672" s="2"/>
      <c r="Q672" s="2"/>
      <c r="R672" s="2"/>
      <c r="S672" s="2"/>
      <c r="T672" s="2"/>
      <c r="U672" s="2"/>
      <c r="V672" s="2"/>
    </row>
    <row r="673" spans="1:22" ht="15.7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72"/>
      <c r="N673" s="2"/>
      <c r="O673" s="2"/>
      <c r="P673" s="2"/>
      <c r="Q673" s="2"/>
      <c r="R673" s="2"/>
      <c r="S673" s="2"/>
      <c r="T673" s="2"/>
      <c r="U673" s="2"/>
      <c r="V673" s="2"/>
    </row>
    <row r="674" spans="1:22" ht="15.7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72"/>
      <c r="N674" s="2"/>
      <c r="O674" s="2"/>
      <c r="P674" s="2"/>
      <c r="Q674" s="2"/>
      <c r="R674" s="2"/>
      <c r="S674" s="2"/>
      <c r="T674" s="2"/>
      <c r="U674" s="2"/>
      <c r="V674" s="2"/>
    </row>
    <row r="675" spans="1:22" ht="15.7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72"/>
      <c r="N675" s="2"/>
      <c r="O675" s="2"/>
      <c r="P675" s="2"/>
      <c r="Q675" s="2"/>
      <c r="R675" s="2"/>
      <c r="S675" s="2"/>
      <c r="T675" s="2"/>
      <c r="U675" s="2"/>
      <c r="V675" s="2"/>
    </row>
    <row r="676" spans="1:22" ht="15.7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72"/>
      <c r="N676" s="2"/>
      <c r="O676" s="2"/>
      <c r="P676" s="2"/>
      <c r="Q676" s="2"/>
      <c r="R676" s="2"/>
      <c r="S676" s="2"/>
      <c r="T676" s="2"/>
      <c r="U676" s="2"/>
      <c r="V676" s="2"/>
    </row>
    <row r="677" spans="1:22" ht="15.7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72"/>
      <c r="N677" s="2"/>
      <c r="O677" s="2"/>
      <c r="P677" s="2"/>
      <c r="Q677" s="2"/>
      <c r="R677" s="2"/>
      <c r="S677" s="2"/>
      <c r="T677" s="2"/>
      <c r="U677" s="2"/>
      <c r="V677" s="2"/>
    </row>
    <row r="678" spans="1:22" ht="15.7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72"/>
      <c r="N678" s="2"/>
      <c r="O678" s="2"/>
      <c r="P678" s="2"/>
      <c r="Q678" s="2"/>
      <c r="R678" s="2"/>
      <c r="S678" s="2"/>
      <c r="T678" s="2"/>
      <c r="U678" s="2"/>
      <c r="V678" s="2"/>
    </row>
    <row r="679" spans="1:22" ht="15.7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72"/>
      <c r="N679" s="2"/>
      <c r="O679" s="2"/>
      <c r="P679" s="2"/>
      <c r="Q679" s="2"/>
      <c r="R679" s="2"/>
      <c r="S679" s="2"/>
      <c r="T679" s="2"/>
      <c r="U679" s="2"/>
      <c r="V679" s="2"/>
    </row>
    <row r="680" spans="1:22" ht="15.7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72"/>
      <c r="N680" s="2"/>
      <c r="O680" s="2"/>
      <c r="P680" s="2"/>
      <c r="Q680" s="2"/>
      <c r="R680" s="2"/>
      <c r="S680" s="2"/>
      <c r="T680" s="2"/>
      <c r="U680" s="2"/>
      <c r="V680" s="2"/>
    </row>
    <row r="681" spans="1:22" ht="15.7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72"/>
      <c r="N681" s="2"/>
      <c r="O681" s="2"/>
      <c r="P681" s="2"/>
      <c r="Q681" s="2"/>
      <c r="R681" s="2"/>
      <c r="S681" s="2"/>
      <c r="T681" s="2"/>
      <c r="U681" s="2"/>
      <c r="V681" s="2"/>
    </row>
    <row r="682" spans="1:22" ht="15.7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72"/>
      <c r="N682" s="2"/>
      <c r="O682" s="2"/>
      <c r="P682" s="2"/>
      <c r="Q682" s="2"/>
      <c r="R682" s="2"/>
      <c r="S682" s="2"/>
      <c r="T682" s="2"/>
      <c r="U682" s="2"/>
      <c r="V682" s="2"/>
    </row>
    <row r="683" spans="1:22" ht="15.7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72"/>
      <c r="N683" s="2"/>
      <c r="O683" s="2"/>
      <c r="P683" s="2"/>
      <c r="Q683" s="2"/>
      <c r="R683" s="2"/>
      <c r="S683" s="2"/>
      <c r="T683" s="2"/>
      <c r="U683" s="2"/>
      <c r="V683" s="2"/>
    </row>
    <row r="684" spans="1:22" ht="15.7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72"/>
      <c r="N684" s="2"/>
      <c r="O684" s="2"/>
      <c r="P684" s="2"/>
      <c r="Q684" s="2"/>
      <c r="R684" s="2"/>
      <c r="S684" s="2"/>
      <c r="T684" s="2"/>
      <c r="U684" s="2"/>
      <c r="V684" s="2"/>
    </row>
    <row r="685" spans="1:22" ht="15.7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72"/>
      <c r="N685" s="2"/>
      <c r="O685" s="2"/>
      <c r="P685" s="2"/>
      <c r="Q685" s="2"/>
      <c r="R685" s="2"/>
      <c r="S685" s="2"/>
      <c r="T685" s="2"/>
      <c r="U685" s="2"/>
      <c r="V685" s="2"/>
    </row>
    <row r="686" spans="1:22" ht="15.7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72"/>
      <c r="N686" s="2"/>
      <c r="O686" s="2"/>
      <c r="P686" s="2"/>
      <c r="Q686" s="2"/>
      <c r="R686" s="2"/>
      <c r="S686" s="2"/>
      <c r="T686" s="2"/>
      <c r="U686" s="2"/>
      <c r="V686" s="2"/>
    </row>
    <row r="687" spans="1:22" ht="15.7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72"/>
      <c r="N687" s="2"/>
      <c r="O687" s="2"/>
      <c r="P687" s="2"/>
      <c r="Q687" s="2"/>
      <c r="R687" s="2"/>
      <c r="S687" s="2"/>
      <c r="T687" s="2"/>
      <c r="U687" s="2"/>
      <c r="V687" s="2"/>
    </row>
    <row r="688" spans="1:22" ht="15.7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72"/>
      <c r="N688" s="2"/>
      <c r="O688" s="2"/>
      <c r="P688" s="2"/>
      <c r="Q688" s="2"/>
      <c r="R688" s="2"/>
      <c r="S688" s="2"/>
      <c r="T688" s="2"/>
      <c r="U688" s="2"/>
      <c r="V688" s="2"/>
    </row>
    <row r="689" spans="1:22" ht="15.7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72"/>
      <c r="N689" s="2"/>
      <c r="O689" s="2"/>
      <c r="P689" s="2"/>
      <c r="Q689" s="2"/>
      <c r="R689" s="2"/>
      <c r="S689" s="2"/>
      <c r="T689" s="2"/>
      <c r="U689" s="2"/>
      <c r="V689" s="2"/>
    </row>
    <row r="690" spans="1:22" ht="15.7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72"/>
      <c r="N690" s="2"/>
      <c r="O690" s="2"/>
      <c r="P690" s="2"/>
      <c r="Q690" s="2"/>
      <c r="R690" s="2"/>
      <c r="S690" s="2"/>
      <c r="T690" s="2"/>
      <c r="U690" s="2"/>
      <c r="V690" s="2"/>
    </row>
    <row r="691" spans="1:22" ht="15.7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72"/>
      <c r="N691" s="2"/>
      <c r="O691" s="2"/>
      <c r="P691" s="2"/>
      <c r="Q691" s="2"/>
      <c r="R691" s="2"/>
      <c r="S691" s="2"/>
      <c r="T691" s="2"/>
      <c r="U691" s="2"/>
      <c r="V691" s="2"/>
    </row>
    <row r="692" spans="1:22" ht="15.7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72"/>
      <c r="N692" s="2"/>
      <c r="O692" s="2"/>
      <c r="P692" s="2"/>
      <c r="Q692" s="2"/>
      <c r="R692" s="2"/>
      <c r="S692" s="2"/>
      <c r="T692" s="2"/>
      <c r="U692" s="2"/>
      <c r="V692" s="2"/>
    </row>
    <row r="693" spans="1:22" ht="15.7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72"/>
      <c r="N693" s="2"/>
      <c r="O693" s="2"/>
      <c r="P693" s="2"/>
      <c r="Q693" s="2"/>
      <c r="R693" s="2"/>
      <c r="S693" s="2"/>
      <c r="T693" s="2"/>
      <c r="U693" s="2"/>
      <c r="V693" s="2"/>
    </row>
    <row r="694" spans="1:22" ht="15.7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72"/>
      <c r="N694" s="2"/>
      <c r="O694" s="2"/>
      <c r="P694" s="2"/>
      <c r="Q694" s="2"/>
      <c r="R694" s="2"/>
      <c r="S694" s="2"/>
      <c r="T694" s="2"/>
      <c r="U694" s="2"/>
      <c r="V694" s="2"/>
    </row>
    <row r="695" spans="1:22" ht="15.7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72"/>
      <c r="N695" s="2"/>
      <c r="O695" s="2"/>
      <c r="P695" s="2"/>
      <c r="Q695" s="2"/>
      <c r="R695" s="2"/>
      <c r="S695" s="2"/>
      <c r="T695" s="2"/>
      <c r="U695" s="2"/>
      <c r="V695" s="2"/>
    </row>
    <row r="696" spans="1:22" ht="15.7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72"/>
      <c r="N696" s="2"/>
      <c r="O696" s="2"/>
      <c r="P696" s="2"/>
      <c r="Q696" s="2"/>
      <c r="R696" s="2"/>
      <c r="S696" s="2"/>
      <c r="T696" s="2"/>
      <c r="U696" s="2"/>
      <c r="V696" s="2"/>
    </row>
    <row r="697" spans="1:22" ht="15.7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72"/>
      <c r="N697" s="2"/>
      <c r="O697" s="2"/>
      <c r="P697" s="2"/>
      <c r="Q697" s="2"/>
      <c r="R697" s="2"/>
      <c r="S697" s="2"/>
      <c r="T697" s="2"/>
      <c r="U697" s="2"/>
      <c r="V697" s="2"/>
    </row>
    <row r="698" spans="1:22" ht="15.7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72"/>
      <c r="N698" s="2"/>
      <c r="O698" s="2"/>
      <c r="P698" s="2"/>
      <c r="Q698" s="2"/>
      <c r="R698" s="2"/>
      <c r="S698" s="2"/>
      <c r="T698" s="2"/>
      <c r="U698" s="2"/>
      <c r="V698" s="2"/>
    </row>
    <row r="699" spans="1:22" ht="15.7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72"/>
      <c r="N699" s="2"/>
      <c r="O699" s="2"/>
      <c r="P699" s="2"/>
      <c r="Q699" s="2"/>
      <c r="R699" s="2"/>
      <c r="S699" s="2"/>
      <c r="T699" s="2"/>
      <c r="U699" s="2"/>
      <c r="V699" s="2"/>
    </row>
    <row r="700" spans="1:22" ht="15.7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72"/>
      <c r="N700" s="2"/>
      <c r="O700" s="2"/>
      <c r="P700" s="2"/>
      <c r="Q700" s="2"/>
      <c r="R700" s="2"/>
      <c r="S700" s="2"/>
      <c r="T700" s="2"/>
      <c r="U700" s="2"/>
      <c r="V700" s="2"/>
    </row>
    <row r="701" spans="1:22" ht="15.7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72"/>
      <c r="N701" s="2"/>
      <c r="O701" s="2"/>
      <c r="P701" s="2"/>
      <c r="Q701" s="2"/>
      <c r="R701" s="2"/>
      <c r="S701" s="2"/>
      <c r="T701" s="2"/>
      <c r="U701" s="2"/>
      <c r="V701" s="2"/>
    </row>
    <row r="702" spans="1:22" ht="15.7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72"/>
      <c r="N702" s="2"/>
      <c r="O702" s="2"/>
      <c r="P702" s="2"/>
      <c r="Q702" s="2"/>
      <c r="R702" s="2"/>
      <c r="S702" s="2"/>
      <c r="T702" s="2"/>
      <c r="U702" s="2"/>
      <c r="V702" s="2"/>
    </row>
    <row r="703" spans="1:22" ht="15.7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72"/>
      <c r="N703" s="2"/>
      <c r="O703" s="2"/>
      <c r="P703" s="2"/>
      <c r="Q703" s="2"/>
      <c r="R703" s="2"/>
      <c r="S703" s="2"/>
      <c r="T703" s="2"/>
      <c r="U703" s="2"/>
      <c r="V703" s="2"/>
    </row>
    <row r="704" spans="1:22" ht="15.7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72"/>
      <c r="N704" s="2"/>
      <c r="O704" s="2"/>
      <c r="P704" s="2"/>
      <c r="Q704" s="2"/>
      <c r="R704" s="2"/>
      <c r="S704" s="2"/>
      <c r="T704" s="2"/>
      <c r="U704" s="2"/>
      <c r="V704" s="2"/>
    </row>
    <row r="705" spans="1:22" ht="15.7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72"/>
      <c r="N705" s="2"/>
      <c r="O705" s="2"/>
      <c r="P705" s="2"/>
      <c r="Q705" s="2"/>
      <c r="R705" s="2"/>
      <c r="S705" s="2"/>
      <c r="T705" s="2"/>
      <c r="U705" s="2"/>
      <c r="V705" s="2"/>
    </row>
    <row r="706" spans="1:22" ht="15.7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72"/>
      <c r="N706" s="2"/>
      <c r="O706" s="2"/>
      <c r="P706" s="2"/>
      <c r="Q706" s="2"/>
      <c r="R706" s="2"/>
      <c r="S706" s="2"/>
      <c r="T706" s="2"/>
      <c r="U706" s="2"/>
      <c r="V706" s="2"/>
    </row>
    <row r="707" spans="1:22" ht="15.7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72"/>
      <c r="N707" s="2"/>
      <c r="O707" s="2"/>
      <c r="P707" s="2"/>
      <c r="Q707" s="2"/>
      <c r="R707" s="2"/>
      <c r="S707" s="2"/>
      <c r="T707" s="2"/>
      <c r="U707" s="2"/>
      <c r="V707" s="2"/>
    </row>
    <row r="708" spans="1:22" ht="15.7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72"/>
      <c r="N708" s="2"/>
      <c r="O708" s="2"/>
      <c r="P708" s="2"/>
      <c r="Q708" s="2"/>
      <c r="R708" s="2"/>
      <c r="S708" s="2"/>
      <c r="T708" s="2"/>
      <c r="U708" s="2"/>
      <c r="V708" s="2"/>
    </row>
    <row r="709" spans="1:22" ht="15.7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72"/>
      <c r="N709" s="2"/>
      <c r="O709" s="2"/>
      <c r="P709" s="2"/>
      <c r="Q709" s="2"/>
      <c r="R709" s="2"/>
      <c r="S709" s="2"/>
      <c r="T709" s="2"/>
      <c r="U709" s="2"/>
      <c r="V709" s="2"/>
    </row>
    <row r="710" spans="1:22" ht="15.7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72"/>
      <c r="N710" s="2"/>
      <c r="O710" s="2"/>
      <c r="P710" s="2"/>
      <c r="Q710" s="2"/>
      <c r="R710" s="2"/>
      <c r="S710" s="2"/>
      <c r="T710" s="2"/>
      <c r="U710" s="2"/>
      <c r="V710" s="2"/>
    </row>
    <row r="711" spans="1:22" ht="15.7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72"/>
      <c r="N711" s="2"/>
      <c r="O711" s="2"/>
      <c r="P711" s="2"/>
      <c r="Q711" s="2"/>
      <c r="R711" s="2"/>
      <c r="S711" s="2"/>
      <c r="T711" s="2"/>
      <c r="U711" s="2"/>
      <c r="V711" s="2"/>
    </row>
    <row r="712" spans="1:22" ht="15.7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72"/>
      <c r="N712" s="2"/>
      <c r="O712" s="2"/>
      <c r="P712" s="2"/>
      <c r="Q712" s="2"/>
      <c r="R712" s="2"/>
      <c r="S712" s="2"/>
      <c r="T712" s="2"/>
      <c r="U712" s="2"/>
      <c r="V712" s="2"/>
    </row>
    <row r="713" spans="1:22" ht="15.7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72"/>
      <c r="N713" s="2"/>
      <c r="O713" s="2"/>
      <c r="P713" s="2"/>
      <c r="Q713" s="2"/>
      <c r="R713" s="2"/>
      <c r="S713" s="2"/>
      <c r="T713" s="2"/>
      <c r="U713" s="2"/>
      <c r="V713" s="2"/>
    </row>
    <row r="714" spans="1:22" ht="15.7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72"/>
      <c r="N714" s="2"/>
      <c r="O714" s="2"/>
      <c r="P714" s="2"/>
      <c r="Q714" s="2"/>
      <c r="R714" s="2"/>
      <c r="S714" s="2"/>
      <c r="T714" s="2"/>
      <c r="U714" s="2"/>
      <c r="V714" s="2"/>
    </row>
    <row r="715" spans="1:22" ht="15.7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72"/>
      <c r="N715" s="2"/>
      <c r="O715" s="2"/>
      <c r="P715" s="2"/>
      <c r="Q715" s="2"/>
      <c r="R715" s="2"/>
      <c r="S715" s="2"/>
      <c r="T715" s="2"/>
      <c r="U715" s="2"/>
      <c r="V715" s="2"/>
    </row>
    <row r="716" spans="1:22" ht="15.7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72"/>
      <c r="N716" s="2"/>
      <c r="O716" s="2"/>
      <c r="P716" s="2"/>
      <c r="Q716" s="2"/>
      <c r="R716" s="2"/>
      <c r="S716" s="2"/>
      <c r="T716" s="2"/>
      <c r="U716" s="2"/>
      <c r="V716" s="2"/>
    </row>
    <row r="717" spans="1:22" ht="15.7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72"/>
      <c r="N717" s="2"/>
      <c r="O717" s="2"/>
      <c r="P717" s="2"/>
      <c r="Q717" s="2"/>
      <c r="R717" s="2"/>
      <c r="S717" s="2"/>
      <c r="T717" s="2"/>
      <c r="U717" s="2"/>
      <c r="V717" s="2"/>
    </row>
    <row r="718" spans="1:22" ht="15.7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72"/>
      <c r="N718" s="2"/>
      <c r="O718" s="2"/>
      <c r="P718" s="2"/>
      <c r="Q718" s="2"/>
      <c r="R718" s="2"/>
      <c r="S718" s="2"/>
      <c r="T718" s="2"/>
      <c r="U718" s="2"/>
      <c r="V718" s="2"/>
    </row>
    <row r="719" spans="1:22" ht="15.7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72"/>
      <c r="N719" s="2"/>
      <c r="O719" s="2"/>
      <c r="P719" s="2"/>
      <c r="Q719" s="2"/>
      <c r="R719" s="2"/>
      <c r="S719" s="2"/>
      <c r="T719" s="2"/>
      <c r="U719" s="2"/>
      <c r="V719" s="2"/>
    </row>
    <row r="720" spans="1:22" ht="15.7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72"/>
      <c r="N720" s="2"/>
      <c r="O720" s="2"/>
      <c r="P720" s="2"/>
      <c r="Q720" s="2"/>
      <c r="R720" s="2"/>
      <c r="S720" s="2"/>
      <c r="T720" s="2"/>
      <c r="U720" s="2"/>
      <c r="V720" s="2"/>
    </row>
    <row r="721" spans="1:22" ht="15.7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72"/>
      <c r="N721" s="2"/>
      <c r="O721" s="2"/>
      <c r="P721" s="2"/>
      <c r="Q721" s="2"/>
      <c r="R721" s="2"/>
      <c r="S721" s="2"/>
      <c r="T721" s="2"/>
      <c r="U721" s="2"/>
      <c r="V721" s="2"/>
    </row>
    <row r="722" spans="1:22" ht="15.7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72"/>
      <c r="N722" s="2"/>
      <c r="O722" s="2"/>
      <c r="P722" s="2"/>
      <c r="Q722" s="2"/>
      <c r="R722" s="2"/>
      <c r="S722" s="2"/>
      <c r="T722" s="2"/>
      <c r="U722" s="2"/>
      <c r="V722" s="2"/>
    </row>
    <row r="723" spans="1:22" ht="15.7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72"/>
      <c r="N723" s="2"/>
      <c r="O723" s="2"/>
      <c r="P723" s="2"/>
      <c r="Q723" s="2"/>
      <c r="R723" s="2"/>
      <c r="S723" s="2"/>
      <c r="T723" s="2"/>
      <c r="U723" s="2"/>
      <c r="V723" s="2"/>
    </row>
    <row r="724" spans="1:22" ht="15.7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72"/>
      <c r="N724" s="2"/>
      <c r="O724" s="2"/>
      <c r="P724" s="2"/>
      <c r="Q724" s="2"/>
      <c r="R724" s="2"/>
      <c r="S724" s="2"/>
      <c r="T724" s="2"/>
      <c r="U724" s="2"/>
      <c r="V724" s="2"/>
    </row>
    <row r="725" spans="1:22" ht="15.7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72"/>
      <c r="N725" s="2"/>
      <c r="O725" s="2"/>
      <c r="P725" s="2"/>
      <c r="Q725" s="2"/>
      <c r="R725" s="2"/>
      <c r="S725" s="2"/>
      <c r="T725" s="2"/>
      <c r="U725" s="2"/>
      <c r="V725" s="2"/>
    </row>
    <row r="726" spans="1:22" ht="15.7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72"/>
      <c r="N726" s="2"/>
      <c r="O726" s="2"/>
      <c r="P726" s="2"/>
      <c r="Q726" s="2"/>
      <c r="R726" s="2"/>
      <c r="S726" s="2"/>
      <c r="T726" s="2"/>
      <c r="U726" s="2"/>
      <c r="V726" s="2"/>
    </row>
    <row r="727" spans="1:22" ht="15.7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72"/>
      <c r="N727" s="2"/>
      <c r="O727" s="2"/>
      <c r="P727" s="2"/>
      <c r="Q727" s="2"/>
      <c r="R727" s="2"/>
      <c r="S727" s="2"/>
      <c r="T727" s="2"/>
      <c r="U727" s="2"/>
      <c r="V727" s="2"/>
    </row>
    <row r="728" spans="1:22" ht="15.7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72"/>
      <c r="N728" s="2"/>
      <c r="O728" s="2"/>
      <c r="P728" s="2"/>
      <c r="Q728" s="2"/>
      <c r="R728" s="2"/>
      <c r="S728" s="2"/>
      <c r="T728" s="2"/>
      <c r="U728" s="2"/>
      <c r="V728" s="2"/>
    </row>
    <row r="729" spans="1:22" ht="15.7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72"/>
      <c r="N729" s="2"/>
      <c r="O729" s="2"/>
      <c r="P729" s="2"/>
      <c r="Q729" s="2"/>
      <c r="R729" s="2"/>
      <c r="S729" s="2"/>
      <c r="T729" s="2"/>
      <c r="U729" s="2"/>
      <c r="V729" s="2"/>
    </row>
    <row r="730" spans="1:22" ht="15.7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72"/>
      <c r="N730" s="2"/>
      <c r="O730" s="2"/>
      <c r="P730" s="2"/>
      <c r="Q730" s="2"/>
      <c r="R730" s="2"/>
      <c r="S730" s="2"/>
      <c r="T730" s="2"/>
      <c r="U730" s="2"/>
      <c r="V730" s="2"/>
    </row>
    <row r="731" spans="1:22" ht="15.7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72"/>
      <c r="N731" s="2"/>
      <c r="O731" s="2"/>
      <c r="P731" s="2"/>
      <c r="Q731" s="2"/>
      <c r="R731" s="2"/>
      <c r="S731" s="2"/>
      <c r="T731" s="2"/>
      <c r="U731" s="2"/>
      <c r="V731" s="2"/>
    </row>
    <row r="732" spans="1:22" ht="15.7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72"/>
      <c r="N732" s="2"/>
      <c r="O732" s="2"/>
      <c r="P732" s="2"/>
      <c r="Q732" s="2"/>
      <c r="R732" s="2"/>
      <c r="S732" s="2"/>
      <c r="T732" s="2"/>
      <c r="U732" s="2"/>
      <c r="V732" s="2"/>
    </row>
    <row r="733" spans="1:22" ht="15.7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72"/>
      <c r="N733" s="2"/>
      <c r="O733" s="2"/>
      <c r="P733" s="2"/>
      <c r="Q733" s="2"/>
      <c r="R733" s="2"/>
      <c r="S733" s="2"/>
      <c r="T733" s="2"/>
      <c r="U733" s="2"/>
      <c r="V733" s="2"/>
    </row>
    <row r="734" spans="1:22" ht="15.7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72"/>
      <c r="N734" s="2"/>
      <c r="O734" s="2"/>
      <c r="P734" s="2"/>
      <c r="Q734" s="2"/>
      <c r="R734" s="2"/>
      <c r="S734" s="2"/>
      <c r="T734" s="2"/>
      <c r="U734" s="2"/>
      <c r="V734" s="2"/>
    </row>
    <row r="735" spans="1:22" ht="15.7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72"/>
      <c r="N735" s="2"/>
      <c r="O735" s="2"/>
      <c r="P735" s="2"/>
      <c r="Q735" s="2"/>
      <c r="R735" s="2"/>
      <c r="S735" s="2"/>
      <c r="T735" s="2"/>
      <c r="U735" s="2"/>
      <c r="V735" s="2"/>
    </row>
    <row r="736" spans="1:22" ht="15.7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72"/>
      <c r="N736" s="2"/>
      <c r="O736" s="2"/>
      <c r="P736" s="2"/>
      <c r="Q736" s="2"/>
      <c r="R736" s="2"/>
      <c r="S736" s="2"/>
      <c r="T736" s="2"/>
      <c r="U736" s="2"/>
      <c r="V736" s="2"/>
    </row>
    <row r="737" spans="1:22" ht="15.7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72"/>
      <c r="N737" s="2"/>
      <c r="O737" s="2"/>
      <c r="P737" s="2"/>
      <c r="Q737" s="2"/>
      <c r="R737" s="2"/>
      <c r="S737" s="2"/>
      <c r="T737" s="2"/>
      <c r="U737" s="2"/>
      <c r="V737" s="2"/>
    </row>
    <row r="738" spans="1:22" ht="15.7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72"/>
      <c r="N738" s="2"/>
      <c r="O738" s="2"/>
      <c r="P738" s="2"/>
      <c r="Q738" s="2"/>
      <c r="R738" s="2"/>
      <c r="S738" s="2"/>
      <c r="T738" s="2"/>
      <c r="U738" s="2"/>
      <c r="V738" s="2"/>
    </row>
    <row r="739" spans="1:22" ht="15.7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72"/>
      <c r="N739" s="2"/>
      <c r="O739" s="2"/>
      <c r="P739" s="2"/>
      <c r="Q739" s="2"/>
      <c r="R739" s="2"/>
      <c r="S739" s="2"/>
      <c r="T739" s="2"/>
      <c r="U739" s="2"/>
      <c r="V739" s="2"/>
    </row>
    <row r="740" spans="1:22" ht="15.7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72"/>
      <c r="N740" s="2"/>
      <c r="O740" s="2"/>
      <c r="P740" s="2"/>
      <c r="Q740" s="2"/>
      <c r="R740" s="2"/>
      <c r="S740" s="2"/>
      <c r="T740" s="2"/>
      <c r="U740" s="2"/>
      <c r="V740" s="2"/>
    </row>
    <row r="741" spans="1:22" ht="15.7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72"/>
      <c r="N741" s="2"/>
      <c r="O741" s="2"/>
      <c r="P741" s="2"/>
      <c r="Q741" s="2"/>
      <c r="R741" s="2"/>
      <c r="S741" s="2"/>
      <c r="T741" s="2"/>
      <c r="U741" s="2"/>
      <c r="V741" s="2"/>
    </row>
    <row r="742" spans="1:22" ht="15.7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72"/>
      <c r="N742" s="2"/>
      <c r="O742" s="2"/>
      <c r="P742" s="2"/>
      <c r="Q742" s="2"/>
      <c r="R742" s="2"/>
      <c r="S742" s="2"/>
      <c r="T742" s="2"/>
      <c r="U742" s="2"/>
      <c r="V742" s="2"/>
    </row>
    <row r="743" spans="1:22" ht="15.7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72"/>
      <c r="N743" s="2"/>
      <c r="O743" s="2"/>
      <c r="P743" s="2"/>
      <c r="Q743" s="2"/>
      <c r="R743" s="2"/>
      <c r="S743" s="2"/>
      <c r="T743" s="2"/>
      <c r="U743" s="2"/>
      <c r="V743" s="2"/>
    </row>
    <row r="744" spans="1:22" ht="15.7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72"/>
      <c r="N744" s="2"/>
      <c r="O744" s="2"/>
      <c r="P744" s="2"/>
      <c r="Q744" s="2"/>
      <c r="R744" s="2"/>
      <c r="S744" s="2"/>
      <c r="T744" s="2"/>
      <c r="U744" s="2"/>
      <c r="V744" s="2"/>
    </row>
    <row r="745" spans="1:22" ht="15.7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72"/>
      <c r="N745" s="2"/>
      <c r="O745" s="2"/>
      <c r="P745" s="2"/>
      <c r="Q745" s="2"/>
      <c r="R745" s="2"/>
      <c r="S745" s="2"/>
      <c r="T745" s="2"/>
      <c r="U745" s="2"/>
      <c r="V745" s="2"/>
    </row>
    <row r="746" spans="1:22" ht="15.7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72"/>
      <c r="N746" s="2"/>
      <c r="O746" s="2"/>
      <c r="P746" s="2"/>
      <c r="Q746" s="2"/>
      <c r="R746" s="2"/>
      <c r="S746" s="2"/>
      <c r="T746" s="2"/>
      <c r="U746" s="2"/>
      <c r="V746" s="2"/>
    </row>
    <row r="747" spans="1:22" ht="15.7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72"/>
      <c r="N747" s="2"/>
      <c r="O747" s="2"/>
      <c r="P747" s="2"/>
      <c r="Q747" s="2"/>
      <c r="R747" s="2"/>
      <c r="S747" s="2"/>
      <c r="T747" s="2"/>
      <c r="U747" s="2"/>
      <c r="V747" s="2"/>
    </row>
    <row r="748" spans="1:22" ht="15.7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72"/>
      <c r="N748" s="2"/>
      <c r="O748" s="2"/>
      <c r="P748" s="2"/>
      <c r="Q748" s="2"/>
      <c r="R748" s="2"/>
      <c r="S748" s="2"/>
      <c r="T748" s="2"/>
      <c r="U748" s="2"/>
      <c r="V748" s="2"/>
    </row>
    <row r="749" spans="1:22" ht="15.7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72"/>
      <c r="N749" s="2"/>
      <c r="O749" s="2"/>
      <c r="P749" s="2"/>
      <c r="Q749" s="2"/>
      <c r="R749" s="2"/>
      <c r="S749" s="2"/>
      <c r="T749" s="2"/>
      <c r="U749" s="2"/>
      <c r="V749" s="2"/>
    </row>
    <row r="750" spans="1:22" ht="15.7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72"/>
      <c r="N750" s="2"/>
      <c r="O750" s="2"/>
      <c r="P750" s="2"/>
      <c r="Q750" s="2"/>
      <c r="R750" s="2"/>
      <c r="S750" s="2"/>
      <c r="T750" s="2"/>
      <c r="U750" s="2"/>
      <c r="V750" s="2"/>
    </row>
    <row r="751" spans="1:22" ht="15.7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72"/>
      <c r="N751" s="2"/>
      <c r="O751" s="2"/>
      <c r="P751" s="2"/>
      <c r="Q751" s="2"/>
      <c r="R751" s="2"/>
      <c r="S751" s="2"/>
      <c r="T751" s="2"/>
      <c r="U751" s="2"/>
      <c r="V751" s="2"/>
    </row>
    <row r="752" spans="1:22" ht="15.7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72"/>
      <c r="N752" s="2"/>
      <c r="O752" s="2"/>
      <c r="P752" s="2"/>
      <c r="Q752" s="2"/>
      <c r="R752" s="2"/>
      <c r="S752" s="2"/>
      <c r="T752" s="2"/>
      <c r="U752" s="2"/>
      <c r="V752" s="2"/>
    </row>
    <row r="753" spans="1:22" ht="15.7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72"/>
      <c r="N753" s="2"/>
      <c r="O753" s="2"/>
      <c r="P753" s="2"/>
      <c r="Q753" s="2"/>
      <c r="R753" s="2"/>
      <c r="S753" s="2"/>
      <c r="T753" s="2"/>
      <c r="U753" s="2"/>
      <c r="V753" s="2"/>
    </row>
    <row r="754" spans="1:22" ht="15.7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72"/>
      <c r="N754" s="2"/>
      <c r="O754" s="2"/>
      <c r="P754" s="2"/>
      <c r="Q754" s="2"/>
      <c r="R754" s="2"/>
      <c r="S754" s="2"/>
      <c r="T754" s="2"/>
      <c r="U754" s="2"/>
      <c r="V754" s="2"/>
    </row>
    <row r="755" spans="1:22" ht="15.7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72"/>
      <c r="N755" s="2"/>
      <c r="O755" s="2"/>
      <c r="P755" s="2"/>
      <c r="Q755" s="2"/>
      <c r="R755" s="2"/>
      <c r="S755" s="2"/>
      <c r="T755" s="2"/>
      <c r="U755" s="2"/>
      <c r="V755" s="2"/>
    </row>
    <row r="756" spans="1:22" ht="15.7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72"/>
      <c r="N756" s="2"/>
      <c r="O756" s="2"/>
      <c r="P756" s="2"/>
      <c r="Q756" s="2"/>
      <c r="R756" s="2"/>
      <c r="S756" s="2"/>
      <c r="T756" s="2"/>
      <c r="U756" s="2"/>
      <c r="V756" s="2"/>
    </row>
    <row r="757" spans="1:22" ht="15.7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72"/>
      <c r="N757" s="2"/>
      <c r="O757" s="2"/>
      <c r="P757" s="2"/>
      <c r="Q757" s="2"/>
      <c r="R757" s="2"/>
      <c r="S757" s="2"/>
      <c r="T757" s="2"/>
      <c r="U757" s="2"/>
      <c r="V757" s="2"/>
    </row>
    <row r="758" spans="1:22" ht="15.7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72"/>
      <c r="N758" s="2"/>
      <c r="O758" s="2"/>
      <c r="P758" s="2"/>
      <c r="Q758" s="2"/>
      <c r="R758" s="2"/>
      <c r="S758" s="2"/>
      <c r="T758" s="2"/>
      <c r="U758" s="2"/>
      <c r="V758" s="2"/>
    </row>
    <row r="759" spans="1:22" ht="15.7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72"/>
      <c r="N759" s="2"/>
      <c r="O759" s="2"/>
      <c r="P759" s="2"/>
      <c r="Q759" s="2"/>
      <c r="R759" s="2"/>
      <c r="S759" s="2"/>
      <c r="T759" s="2"/>
      <c r="U759" s="2"/>
      <c r="V759" s="2"/>
    </row>
    <row r="760" spans="1:22" ht="15.7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72"/>
      <c r="N760" s="2"/>
      <c r="O760" s="2"/>
      <c r="P760" s="2"/>
      <c r="Q760" s="2"/>
      <c r="R760" s="2"/>
      <c r="S760" s="2"/>
      <c r="T760" s="2"/>
      <c r="U760" s="2"/>
      <c r="V760" s="2"/>
    </row>
    <row r="761" spans="1:22" ht="15.7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72"/>
      <c r="N761" s="2"/>
      <c r="O761" s="2"/>
      <c r="P761" s="2"/>
      <c r="Q761" s="2"/>
      <c r="R761" s="2"/>
      <c r="S761" s="2"/>
      <c r="T761" s="2"/>
      <c r="U761" s="2"/>
      <c r="V761" s="2"/>
    </row>
    <row r="762" spans="1:22" ht="15.7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72"/>
      <c r="N762" s="2"/>
      <c r="O762" s="2"/>
      <c r="P762" s="2"/>
      <c r="Q762" s="2"/>
      <c r="R762" s="2"/>
      <c r="S762" s="2"/>
      <c r="T762" s="2"/>
      <c r="U762" s="2"/>
      <c r="V762" s="2"/>
    </row>
    <row r="763" spans="1:22" ht="15.7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72"/>
      <c r="N763" s="2"/>
      <c r="O763" s="2"/>
      <c r="P763" s="2"/>
      <c r="Q763" s="2"/>
      <c r="R763" s="2"/>
      <c r="S763" s="2"/>
      <c r="T763" s="2"/>
      <c r="U763" s="2"/>
      <c r="V763" s="2"/>
    </row>
    <row r="764" spans="1:22" ht="15.7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72"/>
      <c r="N764" s="2"/>
      <c r="O764" s="2"/>
      <c r="P764" s="2"/>
      <c r="Q764" s="2"/>
      <c r="R764" s="2"/>
      <c r="S764" s="2"/>
      <c r="T764" s="2"/>
      <c r="U764" s="2"/>
      <c r="V764" s="2"/>
    </row>
    <row r="765" spans="1:22" ht="15.7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72"/>
      <c r="N765" s="2"/>
      <c r="O765" s="2"/>
      <c r="P765" s="2"/>
      <c r="Q765" s="2"/>
      <c r="R765" s="2"/>
      <c r="S765" s="2"/>
      <c r="T765" s="2"/>
      <c r="U765" s="2"/>
      <c r="V765" s="2"/>
    </row>
    <row r="766" spans="1:22" ht="15.7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72"/>
      <c r="N766" s="2"/>
      <c r="O766" s="2"/>
      <c r="P766" s="2"/>
      <c r="Q766" s="2"/>
      <c r="R766" s="2"/>
      <c r="S766" s="2"/>
      <c r="T766" s="2"/>
      <c r="U766" s="2"/>
      <c r="V766" s="2"/>
    </row>
    <row r="767" spans="1:22" ht="15.7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72"/>
      <c r="N767" s="2"/>
      <c r="O767" s="2"/>
      <c r="P767" s="2"/>
      <c r="Q767" s="2"/>
      <c r="R767" s="2"/>
      <c r="S767" s="2"/>
      <c r="T767" s="2"/>
      <c r="U767" s="2"/>
      <c r="V767" s="2"/>
    </row>
    <row r="768" spans="1:22" ht="15.7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72"/>
      <c r="N768" s="2"/>
      <c r="O768" s="2"/>
      <c r="P768" s="2"/>
      <c r="Q768" s="2"/>
      <c r="R768" s="2"/>
      <c r="S768" s="2"/>
      <c r="T768" s="2"/>
      <c r="U768" s="2"/>
      <c r="V768" s="2"/>
    </row>
    <row r="769" spans="1:22" ht="15.7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72"/>
      <c r="N769" s="2"/>
      <c r="O769" s="2"/>
      <c r="P769" s="2"/>
      <c r="Q769" s="2"/>
      <c r="R769" s="2"/>
      <c r="S769" s="2"/>
      <c r="T769" s="2"/>
      <c r="U769" s="2"/>
      <c r="V769" s="2"/>
    </row>
    <row r="770" spans="1:22" ht="15.7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72"/>
      <c r="N770" s="2"/>
      <c r="O770" s="2"/>
      <c r="P770" s="2"/>
      <c r="Q770" s="2"/>
      <c r="R770" s="2"/>
      <c r="S770" s="2"/>
      <c r="T770" s="2"/>
      <c r="U770" s="2"/>
      <c r="V770" s="2"/>
    </row>
    <row r="771" spans="1:22" ht="15.7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72"/>
      <c r="N771" s="2"/>
      <c r="O771" s="2"/>
      <c r="P771" s="2"/>
      <c r="Q771" s="2"/>
      <c r="R771" s="2"/>
      <c r="S771" s="2"/>
      <c r="T771" s="2"/>
      <c r="U771" s="2"/>
      <c r="V771" s="2"/>
    </row>
    <row r="772" spans="1:22" ht="15.7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72"/>
      <c r="N772" s="2"/>
      <c r="O772" s="2"/>
      <c r="P772" s="2"/>
      <c r="Q772" s="2"/>
      <c r="R772" s="2"/>
      <c r="S772" s="2"/>
      <c r="T772" s="2"/>
      <c r="U772" s="2"/>
      <c r="V772" s="2"/>
    </row>
    <row r="773" spans="1:22" ht="15.7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72"/>
      <c r="N773" s="2"/>
      <c r="O773" s="2"/>
      <c r="P773" s="2"/>
      <c r="Q773" s="2"/>
      <c r="R773" s="2"/>
      <c r="S773" s="2"/>
      <c r="T773" s="2"/>
      <c r="U773" s="2"/>
      <c r="V773" s="2"/>
    </row>
    <row r="774" spans="1:22" ht="15.7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72"/>
      <c r="N774" s="2"/>
      <c r="O774" s="2"/>
      <c r="P774" s="2"/>
      <c r="Q774" s="2"/>
      <c r="R774" s="2"/>
      <c r="S774" s="2"/>
      <c r="T774" s="2"/>
      <c r="U774" s="2"/>
      <c r="V774" s="2"/>
    </row>
    <row r="775" spans="1:22" ht="15.7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72"/>
      <c r="N775" s="2"/>
      <c r="O775" s="2"/>
      <c r="P775" s="2"/>
      <c r="Q775" s="2"/>
      <c r="R775" s="2"/>
      <c r="S775" s="2"/>
      <c r="T775" s="2"/>
      <c r="U775" s="2"/>
      <c r="V775" s="2"/>
    </row>
    <row r="776" spans="1:22" ht="15.7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72"/>
      <c r="N776" s="2"/>
      <c r="O776" s="2"/>
      <c r="P776" s="2"/>
      <c r="Q776" s="2"/>
      <c r="R776" s="2"/>
      <c r="S776" s="2"/>
      <c r="T776" s="2"/>
      <c r="U776" s="2"/>
      <c r="V776" s="2"/>
    </row>
    <row r="777" spans="1:22" ht="15.7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72"/>
      <c r="N777" s="2"/>
      <c r="O777" s="2"/>
      <c r="P777" s="2"/>
      <c r="Q777" s="2"/>
      <c r="R777" s="2"/>
      <c r="S777" s="2"/>
      <c r="T777" s="2"/>
      <c r="U777" s="2"/>
      <c r="V777" s="2"/>
    </row>
    <row r="778" spans="1:22" ht="15.7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72"/>
      <c r="N778" s="2"/>
      <c r="O778" s="2"/>
      <c r="P778" s="2"/>
      <c r="Q778" s="2"/>
      <c r="R778" s="2"/>
      <c r="S778" s="2"/>
      <c r="T778" s="2"/>
      <c r="U778" s="2"/>
      <c r="V778" s="2"/>
    </row>
    <row r="779" spans="1:22" ht="15.7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72"/>
      <c r="N779" s="2"/>
      <c r="O779" s="2"/>
      <c r="P779" s="2"/>
      <c r="Q779" s="2"/>
      <c r="R779" s="2"/>
      <c r="S779" s="2"/>
      <c r="T779" s="2"/>
      <c r="U779" s="2"/>
      <c r="V779" s="2"/>
    </row>
    <row r="780" spans="1:22" ht="15.7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72"/>
      <c r="N780" s="2"/>
      <c r="O780" s="2"/>
      <c r="P780" s="2"/>
      <c r="Q780" s="2"/>
      <c r="R780" s="2"/>
      <c r="S780" s="2"/>
      <c r="T780" s="2"/>
      <c r="U780" s="2"/>
      <c r="V780" s="2"/>
    </row>
    <row r="781" spans="1:22" ht="15.7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72"/>
      <c r="N781" s="2"/>
      <c r="O781" s="2"/>
      <c r="P781" s="2"/>
      <c r="Q781" s="2"/>
      <c r="R781" s="2"/>
      <c r="S781" s="2"/>
      <c r="T781" s="2"/>
      <c r="U781" s="2"/>
      <c r="V781" s="2"/>
    </row>
    <row r="782" spans="1:22" ht="15.7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72"/>
      <c r="N782" s="2"/>
      <c r="O782" s="2"/>
      <c r="P782" s="2"/>
      <c r="Q782" s="2"/>
      <c r="R782" s="2"/>
      <c r="S782" s="2"/>
      <c r="T782" s="2"/>
      <c r="U782" s="2"/>
      <c r="V782" s="2"/>
    </row>
    <row r="783" spans="1:22" ht="15.7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72"/>
      <c r="N783" s="2"/>
      <c r="O783" s="2"/>
      <c r="P783" s="2"/>
      <c r="Q783" s="2"/>
      <c r="R783" s="2"/>
      <c r="S783" s="2"/>
      <c r="T783" s="2"/>
      <c r="U783" s="2"/>
      <c r="V783" s="2"/>
    </row>
    <row r="784" spans="1:22" ht="15.7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72"/>
      <c r="N784" s="2"/>
      <c r="O784" s="2"/>
      <c r="P784" s="2"/>
      <c r="Q784" s="2"/>
      <c r="R784" s="2"/>
      <c r="S784" s="2"/>
      <c r="T784" s="2"/>
      <c r="U784" s="2"/>
      <c r="V784" s="2"/>
    </row>
    <row r="785" spans="1:22" ht="15.7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72"/>
      <c r="N785" s="2"/>
      <c r="O785" s="2"/>
      <c r="P785" s="2"/>
      <c r="Q785" s="2"/>
      <c r="R785" s="2"/>
      <c r="S785" s="2"/>
      <c r="T785" s="2"/>
      <c r="U785" s="2"/>
      <c r="V785" s="2"/>
    </row>
    <row r="786" spans="1:22" ht="15.7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72"/>
      <c r="N786" s="2"/>
      <c r="O786" s="2"/>
      <c r="P786" s="2"/>
      <c r="Q786" s="2"/>
      <c r="R786" s="2"/>
      <c r="S786" s="2"/>
      <c r="T786" s="2"/>
      <c r="U786" s="2"/>
      <c r="V786" s="2"/>
    </row>
    <row r="787" spans="1:22" ht="15.7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72"/>
      <c r="N787" s="2"/>
      <c r="O787" s="2"/>
      <c r="P787" s="2"/>
      <c r="Q787" s="2"/>
      <c r="R787" s="2"/>
      <c r="S787" s="2"/>
      <c r="T787" s="2"/>
      <c r="U787" s="2"/>
      <c r="V787" s="2"/>
    </row>
    <row r="788" spans="1:22" ht="15.7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72"/>
      <c r="N788" s="2"/>
      <c r="O788" s="2"/>
      <c r="P788" s="2"/>
      <c r="Q788" s="2"/>
      <c r="R788" s="2"/>
      <c r="S788" s="2"/>
      <c r="T788" s="2"/>
      <c r="U788" s="2"/>
      <c r="V788" s="2"/>
    </row>
    <row r="789" spans="1:22" ht="15.7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72"/>
      <c r="N789" s="2"/>
      <c r="O789" s="2"/>
      <c r="P789" s="2"/>
      <c r="Q789" s="2"/>
      <c r="R789" s="2"/>
      <c r="S789" s="2"/>
      <c r="T789" s="2"/>
      <c r="U789" s="2"/>
      <c r="V789" s="2"/>
    </row>
    <row r="790" spans="1:22" ht="15.7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72"/>
      <c r="N790" s="2"/>
      <c r="O790" s="2"/>
      <c r="P790" s="2"/>
      <c r="Q790" s="2"/>
      <c r="R790" s="2"/>
      <c r="S790" s="2"/>
      <c r="T790" s="2"/>
      <c r="U790" s="2"/>
      <c r="V790" s="2"/>
    </row>
    <row r="791" spans="1:22" ht="15.7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72"/>
      <c r="N791" s="2"/>
      <c r="O791" s="2"/>
      <c r="P791" s="2"/>
      <c r="Q791" s="2"/>
      <c r="R791" s="2"/>
      <c r="S791" s="2"/>
      <c r="T791" s="2"/>
      <c r="U791" s="2"/>
      <c r="V791" s="2"/>
    </row>
    <row r="792" spans="1:22" ht="15.7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72"/>
      <c r="N792" s="2"/>
      <c r="O792" s="2"/>
      <c r="P792" s="2"/>
      <c r="Q792" s="2"/>
      <c r="R792" s="2"/>
      <c r="S792" s="2"/>
      <c r="T792" s="2"/>
      <c r="U792" s="2"/>
      <c r="V792" s="2"/>
    </row>
    <row r="793" spans="1:22" ht="15.7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72"/>
      <c r="N793" s="2"/>
      <c r="O793" s="2"/>
      <c r="P793" s="2"/>
      <c r="Q793" s="2"/>
      <c r="R793" s="2"/>
      <c r="S793" s="2"/>
      <c r="T793" s="2"/>
      <c r="U793" s="2"/>
      <c r="V793" s="2"/>
    </row>
    <row r="794" spans="1:22" ht="15.7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72"/>
      <c r="N794" s="2"/>
      <c r="O794" s="2"/>
      <c r="P794" s="2"/>
      <c r="Q794" s="2"/>
      <c r="R794" s="2"/>
      <c r="S794" s="2"/>
      <c r="T794" s="2"/>
      <c r="U794" s="2"/>
      <c r="V794" s="2"/>
    </row>
    <row r="795" spans="1:22" ht="15.7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72"/>
      <c r="N795" s="2"/>
      <c r="O795" s="2"/>
      <c r="P795" s="2"/>
      <c r="Q795" s="2"/>
      <c r="R795" s="2"/>
      <c r="S795" s="2"/>
      <c r="T795" s="2"/>
      <c r="U795" s="2"/>
      <c r="V795" s="2"/>
    </row>
    <row r="796" spans="1:22" ht="15.7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72"/>
      <c r="N796" s="2"/>
      <c r="O796" s="2"/>
      <c r="P796" s="2"/>
      <c r="Q796" s="2"/>
      <c r="R796" s="2"/>
      <c r="S796" s="2"/>
      <c r="T796" s="2"/>
      <c r="U796" s="2"/>
      <c r="V796" s="2"/>
    </row>
    <row r="797" spans="1:22" ht="15.7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72"/>
      <c r="N797" s="2"/>
      <c r="O797" s="2"/>
      <c r="P797" s="2"/>
      <c r="Q797" s="2"/>
      <c r="R797" s="2"/>
      <c r="S797" s="2"/>
      <c r="T797" s="2"/>
      <c r="U797" s="2"/>
      <c r="V797" s="2"/>
    </row>
    <row r="798" spans="1:22" ht="15.7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72"/>
      <c r="N798" s="2"/>
      <c r="O798" s="2"/>
      <c r="P798" s="2"/>
      <c r="Q798" s="2"/>
      <c r="R798" s="2"/>
      <c r="S798" s="2"/>
      <c r="T798" s="2"/>
      <c r="U798" s="2"/>
      <c r="V798" s="2"/>
    </row>
    <row r="799" spans="1:22" ht="15.7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72"/>
      <c r="N799" s="2"/>
      <c r="O799" s="2"/>
      <c r="P799" s="2"/>
      <c r="Q799" s="2"/>
      <c r="R799" s="2"/>
      <c r="S799" s="2"/>
      <c r="T799" s="2"/>
      <c r="U799" s="2"/>
      <c r="V799" s="2"/>
    </row>
    <row r="800" spans="1:22" ht="15.7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72"/>
      <c r="N800" s="2"/>
      <c r="O800" s="2"/>
      <c r="P800" s="2"/>
      <c r="Q800" s="2"/>
      <c r="R800" s="2"/>
      <c r="S800" s="2"/>
      <c r="T800" s="2"/>
      <c r="U800" s="2"/>
      <c r="V800" s="2"/>
    </row>
    <row r="801" spans="1:22" ht="15.7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72"/>
      <c r="N801" s="2"/>
      <c r="O801" s="2"/>
      <c r="P801" s="2"/>
      <c r="Q801" s="2"/>
      <c r="R801" s="2"/>
      <c r="S801" s="2"/>
      <c r="T801" s="2"/>
      <c r="U801" s="2"/>
      <c r="V801" s="2"/>
    </row>
    <row r="802" spans="1:22" ht="15.7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72"/>
      <c r="N802" s="2"/>
      <c r="O802" s="2"/>
      <c r="P802" s="2"/>
      <c r="Q802" s="2"/>
      <c r="R802" s="2"/>
      <c r="S802" s="2"/>
      <c r="T802" s="2"/>
      <c r="U802" s="2"/>
      <c r="V802" s="2"/>
    </row>
    <row r="803" spans="1:22" ht="15.7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72"/>
      <c r="N803" s="2"/>
      <c r="O803" s="2"/>
      <c r="P803" s="2"/>
      <c r="Q803" s="2"/>
      <c r="R803" s="2"/>
      <c r="S803" s="2"/>
      <c r="T803" s="2"/>
      <c r="U803" s="2"/>
      <c r="V803" s="2"/>
    </row>
    <row r="804" spans="1:22" ht="15.7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72"/>
      <c r="N804" s="2"/>
      <c r="O804" s="2"/>
      <c r="P804" s="2"/>
      <c r="Q804" s="2"/>
      <c r="R804" s="2"/>
      <c r="S804" s="2"/>
      <c r="T804" s="2"/>
      <c r="U804" s="2"/>
      <c r="V804" s="2"/>
    </row>
    <row r="805" spans="1:22" ht="15.7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72"/>
      <c r="N805" s="2"/>
      <c r="O805" s="2"/>
      <c r="P805" s="2"/>
      <c r="Q805" s="2"/>
      <c r="R805" s="2"/>
      <c r="S805" s="2"/>
      <c r="T805" s="2"/>
      <c r="U805" s="2"/>
      <c r="V805" s="2"/>
    </row>
    <row r="806" spans="1:22" ht="15.7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72"/>
      <c r="N806" s="2"/>
      <c r="O806" s="2"/>
      <c r="P806" s="2"/>
      <c r="Q806" s="2"/>
      <c r="R806" s="2"/>
      <c r="S806" s="2"/>
      <c r="T806" s="2"/>
      <c r="U806" s="2"/>
      <c r="V806" s="2"/>
    </row>
    <row r="807" spans="1:22" ht="15.7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72"/>
      <c r="N807" s="2"/>
      <c r="O807" s="2"/>
      <c r="P807" s="2"/>
      <c r="Q807" s="2"/>
      <c r="R807" s="2"/>
      <c r="S807" s="2"/>
      <c r="T807" s="2"/>
      <c r="U807" s="2"/>
      <c r="V807" s="2"/>
    </row>
    <row r="808" spans="1:22" ht="15.7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72"/>
      <c r="N808" s="2"/>
      <c r="O808" s="2"/>
      <c r="P808" s="2"/>
      <c r="Q808" s="2"/>
      <c r="R808" s="2"/>
      <c r="S808" s="2"/>
      <c r="T808" s="2"/>
      <c r="U808" s="2"/>
      <c r="V808" s="2"/>
    </row>
    <row r="809" spans="1:22" ht="15.7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72"/>
      <c r="N809" s="2"/>
      <c r="O809" s="2"/>
      <c r="P809" s="2"/>
      <c r="Q809" s="2"/>
      <c r="R809" s="2"/>
      <c r="S809" s="2"/>
      <c r="T809" s="2"/>
      <c r="U809" s="2"/>
      <c r="V809" s="2"/>
    </row>
    <row r="810" spans="1:22" ht="15.7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72"/>
      <c r="N810" s="2"/>
      <c r="O810" s="2"/>
      <c r="P810" s="2"/>
      <c r="Q810" s="2"/>
      <c r="R810" s="2"/>
      <c r="S810" s="2"/>
      <c r="T810" s="2"/>
      <c r="U810" s="2"/>
      <c r="V810" s="2"/>
    </row>
    <row r="811" spans="1:22" ht="15.7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72"/>
      <c r="N811" s="2"/>
      <c r="O811" s="2"/>
      <c r="P811" s="2"/>
      <c r="Q811" s="2"/>
      <c r="R811" s="2"/>
      <c r="S811" s="2"/>
      <c r="T811" s="2"/>
      <c r="U811" s="2"/>
      <c r="V811" s="2"/>
    </row>
    <row r="812" spans="1:22" ht="15.7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72"/>
      <c r="N812" s="2"/>
      <c r="O812" s="2"/>
      <c r="P812" s="2"/>
      <c r="Q812" s="2"/>
      <c r="R812" s="2"/>
      <c r="S812" s="2"/>
      <c r="T812" s="2"/>
      <c r="U812" s="2"/>
      <c r="V812" s="2"/>
    </row>
    <row r="813" spans="1:22" ht="15.7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72"/>
      <c r="N813" s="2"/>
      <c r="O813" s="2"/>
      <c r="P813" s="2"/>
      <c r="Q813" s="2"/>
      <c r="R813" s="2"/>
      <c r="S813" s="2"/>
      <c r="T813" s="2"/>
      <c r="U813" s="2"/>
      <c r="V813" s="2"/>
    </row>
    <row r="814" spans="1:22" ht="15.7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72"/>
      <c r="N814" s="2"/>
      <c r="O814" s="2"/>
      <c r="P814" s="2"/>
      <c r="Q814" s="2"/>
      <c r="R814" s="2"/>
      <c r="S814" s="2"/>
      <c r="T814" s="2"/>
      <c r="U814" s="2"/>
      <c r="V814" s="2"/>
    </row>
    <row r="815" spans="1:22" ht="15.7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72"/>
      <c r="N815" s="2"/>
      <c r="O815" s="2"/>
      <c r="P815" s="2"/>
      <c r="Q815" s="2"/>
      <c r="R815" s="2"/>
      <c r="S815" s="2"/>
      <c r="T815" s="2"/>
      <c r="U815" s="2"/>
      <c r="V815" s="2"/>
    </row>
    <row r="816" spans="1:22" ht="15.7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72"/>
      <c r="N816" s="2"/>
      <c r="O816" s="2"/>
      <c r="P816" s="2"/>
      <c r="Q816" s="2"/>
      <c r="R816" s="2"/>
      <c r="S816" s="2"/>
      <c r="T816" s="2"/>
      <c r="U816" s="2"/>
      <c r="V816" s="2"/>
    </row>
    <row r="817" spans="1:22" ht="15.7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72"/>
      <c r="N817" s="2"/>
      <c r="O817" s="2"/>
      <c r="P817" s="2"/>
      <c r="Q817" s="2"/>
      <c r="R817" s="2"/>
      <c r="S817" s="2"/>
      <c r="T817" s="2"/>
      <c r="U817" s="2"/>
      <c r="V817" s="2"/>
    </row>
    <row r="818" spans="1:22" ht="15.7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72"/>
      <c r="N818" s="2"/>
      <c r="O818" s="2"/>
      <c r="P818" s="2"/>
      <c r="Q818" s="2"/>
      <c r="R818" s="2"/>
      <c r="S818" s="2"/>
      <c r="T818" s="2"/>
      <c r="U818" s="2"/>
      <c r="V818" s="2"/>
    </row>
    <row r="819" spans="1:22" ht="15.7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72"/>
      <c r="N819" s="2"/>
      <c r="O819" s="2"/>
      <c r="P819" s="2"/>
      <c r="Q819" s="2"/>
      <c r="R819" s="2"/>
      <c r="S819" s="2"/>
      <c r="T819" s="2"/>
      <c r="U819" s="2"/>
      <c r="V819" s="2"/>
    </row>
    <row r="820" spans="1:22" ht="15.7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72"/>
      <c r="N820" s="2"/>
      <c r="O820" s="2"/>
      <c r="P820" s="2"/>
      <c r="Q820" s="2"/>
      <c r="R820" s="2"/>
      <c r="S820" s="2"/>
      <c r="T820" s="2"/>
      <c r="U820" s="2"/>
      <c r="V820" s="2"/>
    </row>
    <row r="821" spans="1:22" ht="15.7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72"/>
      <c r="N821" s="2"/>
      <c r="O821" s="2"/>
      <c r="P821" s="2"/>
      <c r="Q821" s="2"/>
      <c r="R821" s="2"/>
      <c r="S821" s="2"/>
      <c r="T821" s="2"/>
      <c r="U821" s="2"/>
      <c r="V821" s="2"/>
    </row>
    <row r="822" spans="1:22" ht="15.7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72"/>
      <c r="N822" s="2"/>
      <c r="O822" s="2"/>
      <c r="P822" s="2"/>
      <c r="Q822" s="2"/>
      <c r="R822" s="2"/>
      <c r="S822" s="2"/>
      <c r="T822" s="2"/>
      <c r="U822" s="2"/>
      <c r="V822" s="2"/>
    </row>
    <row r="823" spans="1:22" ht="15.7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72"/>
      <c r="N823" s="2"/>
      <c r="O823" s="2"/>
      <c r="P823" s="2"/>
      <c r="Q823" s="2"/>
      <c r="R823" s="2"/>
      <c r="S823" s="2"/>
      <c r="T823" s="2"/>
      <c r="U823" s="2"/>
      <c r="V823" s="2"/>
    </row>
    <row r="824" spans="1:22" ht="15.7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72"/>
      <c r="N824" s="2"/>
      <c r="O824" s="2"/>
      <c r="P824" s="2"/>
      <c r="Q824" s="2"/>
      <c r="R824" s="2"/>
      <c r="S824" s="2"/>
      <c r="T824" s="2"/>
      <c r="U824" s="2"/>
      <c r="V824" s="2"/>
    </row>
    <row r="825" spans="1:22" ht="15.7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72"/>
      <c r="N825" s="2"/>
      <c r="O825" s="2"/>
      <c r="P825" s="2"/>
      <c r="Q825" s="2"/>
      <c r="R825" s="2"/>
      <c r="S825" s="2"/>
      <c r="T825" s="2"/>
      <c r="U825" s="2"/>
      <c r="V825" s="2"/>
    </row>
    <row r="826" spans="1:22" ht="15.7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72"/>
      <c r="N826" s="2"/>
      <c r="O826" s="2"/>
      <c r="P826" s="2"/>
      <c r="Q826" s="2"/>
      <c r="R826" s="2"/>
      <c r="S826" s="2"/>
      <c r="T826" s="2"/>
      <c r="U826" s="2"/>
      <c r="V826" s="2"/>
    </row>
    <row r="827" spans="1:22" ht="15.7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72"/>
      <c r="N827" s="2"/>
      <c r="O827" s="2"/>
      <c r="P827" s="2"/>
      <c r="Q827" s="2"/>
      <c r="R827" s="2"/>
      <c r="S827" s="2"/>
      <c r="T827" s="2"/>
      <c r="U827" s="2"/>
      <c r="V827" s="2"/>
    </row>
    <row r="828" spans="1:22" ht="15.7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72"/>
      <c r="N828" s="2"/>
      <c r="O828" s="2"/>
      <c r="P828" s="2"/>
      <c r="Q828" s="2"/>
      <c r="R828" s="2"/>
      <c r="S828" s="2"/>
      <c r="T828" s="2"/>
      <c r="U828" s="2"/>
      <c r="V828" s="2"/>
    </row>
    <row r="829" spans="1:22" ht="15.7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72"/>
      <c r="N829" s="2"/>
      <c r="O829" s="2"/>
      <c r="P829" s="2"/>
      <c r="Q829" s="2"/>
      <c r="R829" s="2"/>
      <c r="S829" s="2"/>
      <c r="T829" s="2"/>
      <c r="U829" s="2"/>
      <c r="V829" s="2"/>
    </row>
    <row r="830" spans="1:22" ht="15.7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72"/>
      <c r="N830" s="2"/>
      <c r="O830" s="2"/>
      <c r="P830" s="2"/>
      <c r="Q830" s="2"/>
      <c r="R830" s="2"/>
      <c r="S830" s="2"/>
      <c r="T830" s="2"/>
      <c r="U830" s="2"/>
      <c r="V830" s="2"/>
    </row>
    <row r="831" spans="1:22" ht="15.7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72"/>
      <c r="N831" s="2"/>
      <c r="O831" s="2"/>
      <c r="P831" s="2"/>
      <c r="Q831" s="2"/>
      <c r="R831" s="2"/>
      <c r="S831" s="2"/>
      <c r="T831" s="2"/>
      <c r="U831" s="2"/>
      <c r="V831" s="2"/>
    </row>
    <row r="832" spans="1:22" ht="15.7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72"/>
      <c r="N832" s="2"/>
      <c r="O832" s="2"/>
      <c r="P832" s="2"/>
      <c r="Q832" s="2"/>
      <c r="R832" s="2"/>
      <c r="S832" s="2"/>
      <c r="T832" s="2"/>
      <c r="U832" s="2"/>
      <c r="V832" s="2"/>
    </row>
    <row r="833" spans="1:22" ht="15.7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72"/>
      <c r="N833" s="2"/>
      <c r="O833" s="2"/>
      <c r="P833" s="2"/>
      <c r="Q833" s="2"/>
      <c r="R833" s="2"/>
      <c r="S833" s="2"/>
      <c r="T833" s="2"/>
      <c r="U833" s="2"/>
      <c r="V833" s="2"/>
    </row>
    <row r="834" spans="1:22" ht="15.7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72"/>
      <c r="N834" s="2"/>
      <c r="O834" s="2"/>
      <c r="P834" s="2"/>
      <c r="Q834" s="2"/>
      <c r="R834" s="2"/>
      <c r="S834" s="2"/>
      <c r="T834" s="2"/>
      <c r="U834" s="2"/>
      <c r="V834" s="2"/>
    </row>
    <row r="835" spans="1:22" ht="15.7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72"/>
      <c r="N835" s="2"/>
      <c r="O835" s="2"/>
      <c r="P835" s="2"/>
      <c r="Q835" s="2"/>
      <c r="R835" s="2"/>
      <c r="S835" s="2"/>
      <c r="T835" s="2"/>
      <c r="U835" s="2"/>
      <c r="V835" s="2"/>
    </row>
    <row r="836" spans="1:22" ht="15.7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72"/>
      <c r="N836" s="2"/>
      <c r="O836" s="2"/>
      <c r="P836" s="2"/>
      <c r="Q836" s="2"/>
      <c r="R836" s="2"/>
      <c r="S836" s="2"/>
      <c r="T836" s="2"/>
      <c r="U836" s="2"/>
      <c r="V836" s="2"/>
    </row>
    <row r="837" spans="1:22" ht="15.7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72"/>
      <c r="N837" s="2"/>
      <c r="O837" s="2"/>
      <c r="P837" s="2"/>
      <c r="Q837" s="2"/>
      <c r="R837" s="2"/>
      <c r="S837" s="2"/>
      <c r="T837" s="2"/>
      <c r="U837" s="2"/>
      <c r="V837" s="2"/>
    </row>
    <row r="838" spans="1:22" ht="15.7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72"/>
      <c r="N838" s="2"/>
      <c r="O838" s="2"/>
      <c r="P838" s="2"/>
      <c r="Q838" s="2"/>
      <c r="R838" s="2"/>
      <c r="S838" s="2"/>
      <c r="T838" s="2"/>
      <c r="U838" s="2"/>
      <c r="V838" s="2"/>
    </row>
    <row r="839" spans="1:22" ht="15.7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72"/>
      <c r="N839" s="2"/>
      <c r="O839" s="2"/>
      <c r="P839" s="2"/>
      <c r="Q839" s="2"/>
      <c r="R839" s="2"/>
      <c r="S839" s="2"/>
      <c r="T839" s="2"/>
      <c r="U839" s="2"/>
      <c r="V839" s="2"/>
    </row>
    <row r="840" spans="1:22" ht="15.7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72"/>
      <c r="N840" s="2"/>
      <c r="O840" s="2"/>
      <c r="P840" s="2"/>
      <c r="Q840" s="2"/>
      <c r="R840" s="2"/>
      <c r="S840" s="2"/>
      <c r="T840" s="2"/>
      <c r="U840" s="2"/>
      <c r="V840" s="2"/>
    </row>
    <row r="841" spans="1:22" ht="15.7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72"/>
      <c r="N841" s="2"/>
      <c r="O841" s="2"/>
      <c r="P841" s="2"/>
      <c r="Q841" s="2"/>
      <c r="R841" s="2"/>
      <c r="S841" s="2"/>
      <c r="T841" s="2"/>
      <c r="U841" s="2"/>
      <c r="V841" s="2"/>
    </row>
    <row r="842" spans="1:22" ht="15.7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72"/>
      <c r="N842" s="2"/>
      <c r="O842" s="2"/>
      <c r="P842" s="2"/>
      <c r="Q842" s="2"/>
      <c r="R842" s="2"/>
      <c r="S842" s="2"/>
      <c r="T842" s="2"/>
      <c r="U842" s="2"/>
      <c r="V842" s="2"/>
    </row>
    <row r="843" spans="1:22" ht="15.7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72"/>
      <c r="N843" s="2"/>
      <c r="O843" s="2"/>
      <c r="P843" s="2"/>
      <c r="Q843" s="2"/>
      <c r="R843" s="2"/>
      <c r="S843" s="2"/>
      <c r="T843" s="2"/>
      <c r="U843" s="2"/>
      <c r="V843" s="2"/>
    </row>
    <row r="844" spans="1:22" ht="15.7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72"/>
      <c r="N844" s="2"/>
      <c r="O844" s="2"/>
      <c r="P844" s="2"/>
      <c r="Q844" s="2"/>
      <c r="R844" s="2"/>
      <c r="S844" s="2"/>
      <c r="T844" s="2"/>
      <c r="U844" s="2"/>
      <c r="V844" s="2"/>
    </row>
    <row r="845" spans="1:22" ht="15.7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72"/>
      <c r="N845" s="2"/>
      <c r="O845" s="2"/>
      <c r="P845" s="2"/>
      <c r="Q845" s="2"/>
      <c r="R845" s="2"/>
      <c r="S845" s="2"/>
      <c r="T845" s="2"/>
      <c r="U845" s="2"/>
      <c r="V845" s="2"/>
    </row>
    <row r="846" spans="1:22" ht="15.7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72"/>
      <c r="N846" s="2"/>
      <c r="O846" s="2"/>
      <c r="P846" s="2"/>
      <c r="Q846" s="2"/>
      <c r="R846" s="2"/>
      <c r="S846" s="2"/>
      <c r="T846" s="2"/>
      <c r="U846" s="2"/>
      <c r="V846" s="2"/>
    </row>
    <row r="847" spans="1:22" ht="15.7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72"/>
      <c r="N847" s="2"/>
      <c r="O847" s="2"/>
      <c r="P847" s="2"/>
      <c r="Q847" s="2"/>
      <c r="R847" s="2"/>
      <c r="S847" s="2"/>
      <c r="T847" s="2"/>
      <c r="U847" s="2"/>
      <c r="V847" s="2"/>
    </row>
    <row r="848" spans="1:22" ht="15.7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72"/>
      <c r="N848" s="2"/>
      <c r="O848" s="2"/>
      <c r="P848" s="2"/>
      <c r="Q848" s="2"/>
      <c r="R848" s="2"/>
      <c r="S848" s="2"/>
      <c r="T848" s="2"/>
      <c r="U848" s="2"/>
      <c r="V848" s="2"/>
    </row>
    <row r="849" spans="1:22" ht="15.7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72"/>
      <c r="N849" s="2"/>
      <c r="O849" s="2"/>
      <c r="P849" s="2"/>
      <c r="Q849" s="2"/>
      <c r="R849" s="2"/>
      <c r="S849" s="2"/>
      <c r="T849" s="2"/>
      <c r="U849" s="2"/>
      <c r="V849" s="2"/>
    </row>
    <row r="850" spans="1:22" ht="15.7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72"/>
      <c r="N850" s="2"/>
      <c r="O850" s="2"/>
      <c r="P850" s="2"/>
      <c r="Q850" s="2"/>
      <c r="R850" s="2"/>
      <c r="S850" s="2"/>
      <c r="T850" s="2"/>
      <c r="U850" s="2"/>
      <c r="V850" s="2"/>
    </row>
    <row r="851" spans="1:22" ht="15.7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72"/>
      <c r="N851" s="2"/>
      <c r="O851" s="2"/>
      <c r="P851" s="2"/>
      <c r="Q851" s="2"/>
      <c r="R851" s="2"/>
      <c r="S851" s="2"/>
      <c r="T851" s="2"/>
      <c r="U851" s="2"/>
      <c r="V851" s="2"/>
    </row>
    <row r="852" spans="1:22" ht="15.7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72"/>
      <c r="N852" s="2"/>
      <c r="O852" s="2"/>
      <c r="P852" s="2"/>
      <c r="Q852" s="2"/>
      <c r="R852" s="2"/>
      <c r="S852" s="2"/>
      <c r="T852" s="2"/>
      <c r="U852" s="2"/>
      <c r="V852" s="2"/>
    </row>
    <row r="853" spans="1:22" ht="15.7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72"/>
      <c r="N853" s="2"/>
      <c r="O853" s="2"/>
      <c r="P853" s="2"/>
      <c r="Q853" s="2"/>
      <c r="R853" s="2"/>
      <c r="S853" s="2"/>
      <c r="T853" s="2"/>
      <c r="U853" s="2"/>
      <c r="V853" s="2"/>
    </row>
    <row r="854" spans="1:22" ht="15.7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72"/>
      <c r="N854" s="2"/>
      <c r="O854" s="2"/>
      <c r="P854" s="2"/>
      <c r="Q854" s="2"/>
      <c r="R854" s="2"/>
      <c r="S854" s="2"/>
      <c r="T854" s="2"/>
      <c r="U854" s="2"/>
      <c r="V854" s="2"/>
    </row>
    <row r="855" spans="1:22" ht="15.7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72"/>
      <c r="N855" s="2"/>
      <c r="O855" s="2"/>
      <c r="P855" s="2"/>
      <c r="Q855" s="2"/>
      <c r="R855" s="2"/>
      <c r="S855" s="2"/>
      <c r="T855" s="2"/>
      <c r="U855" s="2"/>
      <c r="V855" s="2"/>
    </row>
    <row r="856" spans="1:22" ht="15.7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72"/>
      <c r="N856" s="2"/>
      <c r="O856" s="2"/>
      <c r="P856" s="2"/>
      <c r="Q856" s="2"/>
      <c r="R856" s="2"/>
      <c r="S856" s="2"/>
      <c r="T856" s="2"/>
      <c r="U856" s="2"/>
      <c r="V856" s="2"/>
    </row>
    <row r="857" spans="1:22" ht="15.7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72"/>
      <c r="N857" s="2"/>
      <c r="O857" s="2"/>
      <c r="P857" s="2"/>
      <c r="Q857" s="2"/>
      <c r="R857" s="2"/>
      <c r="S857" s="2"/>
      <c r="T857" s="2"/>
      <c r="U857" s="2"/>
      <c r="V857" s="2"/>
    </row>
    <row r="858" spans="1:22" ht="15.7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72"/>
      <c r="N858" s="2"/>
      <c r="O858" s="2"/>
      <c r="P858" s="2"/>
      <c r="Q858" s="2"/>
      <c r="R858" s="2"/>
      <c r="S858" s="2"/>
      <c r="T858" s="2"/>
      <c r="U858" s="2"/>
      <c r="V858" s="2"/>
    </row>
    <row r="859" spans="1:22" ht="15.7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72"/>
      <c r="N859" s="2"/>
      <c r="O859" s="2"/>
      <c r="P859" s="2"/>
      <c r="Q859" s="2"/>
      <c r="R859" s="2"/>
      <c r="S859" s="2"/>
      <c r="T859" s="2"/>
      <c r="U859" s="2"/>
      <c r="V859" s="2"/>
    </row>
    <row r="860" spans="1:22" ht="15.7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72"/>
      <c r="N860" s="2"/>
      <c r="O860" s="2"/>
      <c r="P860" s="2"/>
      <c r="Q860" s="2"/>
      <c r="R860" s="2"/>
      <c r="S860" s="2"/>
      <c r="T860" s="2"/>
      <c r="U860" s="2"/>
      <c r="V860" s="2"/>
    </row>
    <row r="861" spans="1:22" ht="15.7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72"/>
      <c r="N861" s="2"/>
      <c r="O861" s="2"/>
      <c r="P861" s="2"/>
      <c r="Q861" s="2"/>
      <c r="R861" s="2"/>
      <c r="S861" s="2"/>
      <c r="T861" s="2"/>
      <c r="U861" s="2"/>
      <c r="V861" s="2"/>
    </row>
    <row r="862" spans="1:22" ht="15.7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72"/>
      <c r="N862" s="2"/>
      <c r="O862" s="2"/>
      <c r="P862" s="2"/>
      <c r="Q862" s="2"/>
      <c r="R862" s="2"/>
      <c r="S862" s="2"/>
      <c r="T862" s="2"/>
      <c r="U862" s="2"/>
      <c r="V862" s="2"/>
    </row>
    <row r="863" spans="1:22" ht="15.7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72"/>
      <c r="N863" s="2"/>
      <c r="O863" s="2"/>
      <c r="P863" s="2"/>
      <c r="Q863" s="2"/>
      <c r="R863" s="2"/>
      <c r="S863" s="2"/>
      <c r="T863" s="2"/>
      <c r="U863" s="2"/>
      <c r="V863" s="2"/>
    </row>
    <row r="864" spans="1:22" ht="15.7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72"/>
      <c r="N864" s="2"/>
      <c r="O864" s="2"/>
      <c r="P864" s="2"/>
      <c r="Q864" s="2"/>
      <c r="R864" s="2"/>
      <c r="S864" s="2"/>
      <c r="T864" s="2"/>
      <c r="U864" s="2"/>
      <c r="V864" s="2"/>
    </row>
    <row r="865" spans="1:22" ht="15.7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72"/>
      <c r="N865" s="2"/>
      <c r="O865" s="2"/>
      <c r="P865" s="2"/>
      <c r="Q865" s="2"/>
      <c r="R865" s="2"/>
      <c r="S865" s="2"/>
      <c r="T865" s="2"/>
      <c r="U865" s="2"/>
      <c r="V865" s="2"/>
    </row>
    <row r="866" spans="1:22" ht="15.7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72"/>
      <c r="N866" s="2"/>
      <c r="O866" s="2"/>
      <c r="P866" s="2"/>
      <c r="Q866" s="2"/>
      <c r="R866" s="2"/>
      <c r="S866" s="2"/>
      <c r="T866" s="2"/>
      <c r="U866" s="2"/>
      <c r="V866" s="2"/>
    </row>
    <row r="867" spans="1:22" ht="15.7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72"/>
      <c r="N867" s="2"/>
      <c r="O867" s="2"/>
      <c r="P867" s="2"/>
      <c r="Q867" s="2"/>
      <c r="R867" s="2"/>
      <c r="S867" s="2"/>
      <c r="T867" s="2"/>
      <c r="U867" s="2"/>
      <c r="V867" s="2"/>
    </row>
    <row r="868" spans="1:22" ht="15.7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72"/>
      <c r="N868" s="2"/>
      <c r="O868" s="2"/>
      <c r="P868" s="2"/>
      <c r="Q868" s="2"/>
      <c r="R868" s="2"/>
      <c r="S868" s="2"/>
      <c r="T868" s="2"/>
      <c r="U868" s="2"/>
      <c r="V868" s="2"/>
    </row>
    <row r="869" spans="1:22" ht="15.7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72"/>
      <c r="N869" s="2"/>
      <c r="O869" s="2"/>
      <c r="P869" s="2"/>
      <c r="Q869" s="2"/>
      <c r="R869" s="2"/>
      <c r="S869" s="2"/>
      <c r="T869" s="2"/>
      <c r="U869" s="2"/>
      <c r="V869" s="2"/>
    </row>
    <row r="870" spans="1:22" ht="15.7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72"/>
      <c r="N870" s="2"/>
      <c r="O870" s="2"/>
      <c r="P870" s="2"/>
      <c r="Q870" s="2"/>
      <c r="R870" s="2"/>
      <c r="S870" s="2"/>
      <c r="T870" s="2"/>
      <c r="U870" s="2"/>
      <c r="V870" s="2"/>
    </row>
    <row r="871" spans="1:22" ht="15.7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72"/>
      <c r="N871" s="2"/>
      <c r="O871" s="2"/>
      <c r="P871" s="2"/>
      <c r="Q871" s="2"/>
      <c r="R871" s="2"/>
      <c r="S871" s="2"/>
      <c r="T871" s="2"/>
      <c r="U871" s="2"/>
      <c r="V871" s="2"/>
    </row>
    <row r="872" spans="1:22" ht="15.7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72"/>
      <c r="N872" s="2"/>
      <c r="O872" s="2"/>
      <c r="P872" s="2"/>
      <c r="Q872" s="2"/>
      <c r="R872" s="2"/>
      <c r="S872" s="2"/>
      <c r="T872" s="2"/>
      <c r="U872" s="2"/>
      <c r="V872" s="2"/>
    </row>
    <row r="873" spans="1:22" ht="15.7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72"/>
      <c r="N873" s="2"/>
      <c r="O873" s="2"/>
      <c r="P873" s="2"/>
      <c r="Q873" s="2"/>
      <c r="R873" s="2"/>
      <c r="S873" s="2"/>
      <c r="T873" s="2"/>
      <c r="U873" s="2"/>
      <c r="V873" s="2"/>
    </row>
    <row r="874" spans="1:22" ht="15.7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72"/>
      <c r="N874" s="2"/>
      <c r="O874" s="2"/>
      <c r="P874" s="2"/>
      <c r="Q874" s="2"/>
      <c r="R874" s="2"/>
      <c r="S874" s="2"/>
      <c r="T874" s="2"/>
      <c r="U874" s="2"/>
      <c r="V874" s="2"/>
    </row>
    <row r="875" spans="1:22" ht="15.7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72"/>
      <c r="N875" s="2"/>
      <c r="O875" s="2"/>
      <c r="P875" s="2"/>
      <c r="Q875" s="2"/>
      <c r="R875" s="2"/>
      <c r="S875" s="2"/>
      <c r="T875" s="2"/>
      <c r="U875" s="2"/>
      <c r="V875" s="2"/>
    </row>
    <row r="876" spans="1:22" ht="15.7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72"/>
      <c r="N876" s="2"/>
      <c r="O876" s="2"/>
      <c r="P876" s="2"/>
      <c r="Q876" s="2"/>
      <c r="R876" s="2"/>
      <c r="S876" s="2"/>
      <c r="T876" s="2"/>
      <c r="U876" s="2"/>
      <c r="V876" s="2"/>
    </row>
    <row r="877" spans="1:22" ht="15.7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72"/>
      <c r="N877" s="2"/>
      <c r="O877" s="2"/>
      <c r="P877" s="2"/>
      <c r="Q877" s="2"/>
      <c r="R877" s="2"/>
      <c r="S877" s="2"/>
      <c r="T877" s="2"/>
      <c r="U877" s="2"/>
      <c r="V877" s="2"/>
    </row>
    <row r="878" spans="1:22" ht="15.7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72"/>
      <c r="N878" s="2"/>
      <c r="O878" s="2"/>
      <c r="P878" s="2"/>
      <c r="Q878" s="2"/>
      <c r="R878" s="2"/>
      <c r="S878" s="2"/>
      <c r="T878" s="2"/>
      <c r="U878" s="2"/>
      <c r="V878" s="2"/>
    </row>
    <row r="879" spans="1:22" ht="15.7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72"/>
      <c r="N879" s="2"/>
      <c r="O879" s="2"/>
      <c r="P879" s="2"/>
      <c r="Q879" s="2"/>
      <c r="R879" s="2"/>
      <c r="S879" s="2"/>
      <c r="T879" s="2"/>
      <c r="U879" s="2"/>
      <c r="V879" s="2"/>
    </row>
    <row r="880" spans="1:22" ht="15.7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72"/>
      <c r="N880" s="2"/>
      <c r="O880" s="2"/>
      <c r="P880" s="2"/>
      <c r="Q880" s="2"/>
      <c r="R880" s="2"/>
      <c r="S880" s="2"/>
      <c r="T880" s="2"/>
      <c r="U880" s="2"/>
      <c r="V880" s="2"/>
    </row>
    <row r="881" spans="1:22" ht="15.7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72"/>
      <c r="N881" s="2"/>
      <c r="O881" s="2"/>
      <c r="P881" s="2"/>
      <c r="Q881" s="2"/>
      <c r="R881" s="2"/>
      <c r="S881" s="2"/>
      <c r="T881" s="2"/>
      <c r="U881" s="2"/>
      <c r="V881" s="2"/>
    </row>
    <row r="882" spans="1:22" ht="15.7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72"/>
      <c r="N882" s="2"/>
      <c r="O882" s="2"/>
      <c r="P882" s="2"/>
      <c r="Q882" s="2"/>
      <c r="R882" s="2"/>
      <c r="S882" s="2"/>
      <c r="T882" s="2"/>
      <c r="U882" s="2"/>
      <c r="V882" s="2"/>
    </row>
    <row r="883" spans="1:22" ht="15.7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72"/>
      <c r="N883" s="2"/>
      <c r="O883" s="2"/>
      <c r="P883" s="2"/>
      <c r="Q883" s="2"/>
      <c r="R883" s="2"/>
      <c r="S883" s="2"/>
      <c r="T883" s="2"/>
      <c r="U883" s="2"/>
      <c r="V883" s="2"/>
    </row>
    <row r="884" spans="1:22" ht="15.7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72"/>
      <c r="N884" s="2"/>
      <c r="O884" s="2"/>
      <c r="P884" s="2"/>
      <c r="Q884" s="2"/>
      <c r="R884" s="2"/>
      <c r="S884" s="2"/>
      <c r="T884" s="2"/>
      <c r="U884" s="2"/>
      <c r="V884" s="2"/>
    </row>
    <row r="885" spans="1:22" ht="15.7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72"/>
      <c r="N885" s="2"/>
      <c r="O885" s="2"/>
      <c r="P885" s="2"/>
      <c r="Q885" s="2"/>
      <c r="R885" s="2"/>
      <c r="S885" s="2"/>
      <c r="T885" s="2"/>
      <c r="U885" s="2"/>
      <c r="V885" s="2"/>
    </row>
    <row r="886" spans="1:22" ht="15.7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72"/>
      <c r="N886" s="2"/>
      <c r="O886" s="2"/>
      <c r="P886" s="2"/>
      <c r="Q886" s="2"/>
      <c r="R886" s="2"/>
      <c r="S886" s="2"/>
      <c r="T886" s="2"/>
      <c r="U886" s="2"/>
      <c r="V886" s="2"/>
    </row>
    <row r="887" spans="1:22" ht="15.7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72"/>
      <c r="N887" s="2"/>
      <c r="O887" s="2"/>
      <c r="P887" s="2"/>
      <c r="Q887" s="2"/>
      <c r="R887" s="2"/>
      <c r="S887" s="2"/>
      <c r="T887" s="2"/>
      <c r="U887" s="2"/>
      <c r="V887" s="2"/>
    </row>
    <row r="888" spans="1:22" ht="15.7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72"/>
      <c r="N888" s="2"/>
      <c r="O888" s="2"/>
      <c r="P888" s="2"/>
      <c r="Q888" s="2"/>
      <c r="R888" s="2"/>
      <c r="S888" s="2"/>
      <c r="T888" s="2"/>
      <c r="U888" s="2"/>
      <c r="V888" s="2"/>
    </row>
    <row r="889" spans="1:22" ht="15.7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72"/>
      <c r="N889" s="2"/>
      <c r="O889" s="2"/>
      <c r="P889" s="2"/>
      <c r="Q889" s="2"/>
      <c r="R889" s="2"/>
      <c r="S889" s="2"/>
      <c r="T889" s="2"/>
      <c r="U889" s="2"/>
      <c r="V889" s="2"/>
    </row>
    <row r="890" spans="1:22" ht="15.7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72"/>
      <c r="N890" s="2"/>
      <c r="O890" s="2"/>
      <c r="P890" s="2"/>
      <c r="Q890" s="2"/>
      <c r="R890" s="2"/>
      <c r="S890" s="2"/>
      <c r="T890" s="2"/>
      <c r="U890" s="2"/>
      <c r="V890" s="2"/>
    </row>
    <row r="891" spans="1:22" ht="15.7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72"/>
      <c r="N891" s="2"/>
      <c r="O891" s="2"/>
      <c r="P891" s="2"/>
      <c r="Q891" s="2"/>
      <c r="R891" s="2"/>
      <c r="S891" s="2"/>
      <c r="T891" s="2"/>
      <c r="U891" s="2"/>
      <c r="V891" s="2"/>
    </row>
    <row r="892" spans="1:22" ht="15.7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72"/>
      <c r="N892" s="2"/>
      <c r="O892" s="2"/>
      <c r="P892" s="2"/>
      <c r="Q892" s="2"/>
      <c r="R892" s="2"/>
      <c r="S892" s="2"/>
      <c r="T892" s="2"/>
      <c r="U892" s="2"/>
      <c r="V892" s="2"/>
    </row>
    <row r="893" spans="1:22" ht="15.7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72"/>
      <c r="N893" s="2"/>
      <c r="O893" s="2"/>
      <c r="P893" s="2"/>
      <c r="Q893" s="2"/>
      <c r="R893" s="2"/>
      <c r="S893" s="2"/>
      <c r="T893" s="2"/>
      <c r="U893" s="2"/>
      <c r="V893" s="2"/>
    </row>
    <row r="894" spans="1:22" ht="15.7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72"/>
      <c r="N894" s="2"/>
      <c r="O894" s="2"/>
      <c r="P894" s="2"/>
      <c r="Q894" s="2"/>
      <c r="R894" s="2"/>
      <c r="S894" s="2"/>
      <c r="T894" s="2"/>
      <c r="U894" s="2"/>
      <c r="V894" s="2"/>
    </row>
    <row r="895" spans="1:22" ht="15.7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72"/>
      <c r="N895" s="2"/>
      <c r="O895" s="2"/>
      <c r="P895" s="2"/>
      <c r="Q895" s="2"/>
      <c r="R895" s="2"/>
      <c r="S895" s="2"/>
      <c r="T895" s="2"/>
      <c r="U895" s="2"/>
      <c r="V895" s="2"/>
    </row>
    <row r="896" spans="1:22" ht="15.7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72"/>
      <c r="N896" s="2"/>
      <c r="O896" s="2"/>
      <c r="P896" s="2"/>
      <c r="Q896" s="2"/>
      <c r="R896" s="2"/>
      <c r="S896" s="2"/>
      <c r="T896" s="2"/>
      <c r="U896" s="2"/>
      <c r="V896" s="2"/>
    </row>
    <row r="897" spans="1:22" ht="15.7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72"/>
      <c r="N897" s="2"/>
      <c r="O897" s="2"/>
      <c r="P897" s="2"/>
      <c r="Q897" s="2"/>
      <c r="R897" s="2"/>
      <c r="S897" s="2"/>
      <c r="T897" s="2"/>
      <c r="U897" s="2"/>
      <c r="V897" s="2"/>
    </row>
    <row r="898" spans="1:22" ht="15.7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72"/>
      <c r="N898" s="2"/>
      <c r="O898" s="2"/>
      <c r="P898" s="2"/>
      <c r="Q898" s="2"/>
      <c r="R898" s="2"/>
      <c r="S898" s="2"/>
      <c r="T898" s="2"/>
      <c r="U898" s="2"/>
      <c r="V898" s="2"/>
    </row>
    <row r="899" spans="1:22" ht="15.7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72"/>
      <c r="N899" s="2"/>
      <c r="O899" s="2"/>
      <c r="P899" s="2"/>
      <c r="Q899" s="2"/>
      <c r="R899" s="2"/>
      <c r="S899" s="2"/>
      <c r="T899" s="2"/>
      <c r="U899" s="2"/>
      <c r="V899" s="2"/>
    </row>
    <row r="900" spans="1:22" ht="15.7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72"/>
      <c r="N900" s="2"/>
      <c r="O900" s="2"/>
      <c r="P900" s="2"/>
      <c r="Q900" s="2"/>
      <c r="R900" s="2"/>
      <c r="S900" s="2"/>
      <c r="T900" s="2"/>
      <c r="U900" s="2"/>
      <c r="V900" s="2"/>
    </row>
    <row r="901" spans="1:22" ht="15.7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72"/>
      <c r="N901" s="2"/>
      <c r="O901" s="2"/>
      <c r="P901" s="2"/>
      <c r="Q901" s="2"/>
      <c r="R901" s="2"/>
      <c r="S901" s="2"/>
      <c r="T901" s="2"/>
      <c r="U901" s="2"/>
      <c r="V901" s="2"/>
    </row>
    <row r="902" spans="1:22" ht="15.7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72"/>
      <c r="N902" s="2"/>
      <c r="O902" s="2"/>
      <c r="P902" s="2"/>
      <c r="Q902" s="2"/>
      <c r="R902" s="2"/>
      <c r="S902" s="2"/>
      <c r="T902" s="2"/>
      <c r="U902" s="2"/>
      <c r="V902" s="2"/>
    </row>
    <row r="903" spans="1:22" ht="15.7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72"/>
      <c r="N903" s="2"/>
      <c r="O903" s="2"/>
      <c r="P903" s="2"/>
      <c r="Q903" s="2"/>
      <c r="R903" s="2"/>
      <c r="S903" s="2"/>
      <c r="T903" s="2"/>
      <c r="U903" s="2"/>
      <c r="V903" s="2"/>
    </row>
    <row r="904" spans="1:22" ht="15.7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72"/>
      <c r="N904" s="2"/>
      <c r="O904" s="2"/>
      <c r="P904" s="2"/>
      <c r="Q904" s="2"/>
      <c r="R904" s="2"/>
      <c r="S904" s="2"/>
      <c r="T904" s="2"/>
      <c r="U904" s="2"/>
      <c r="V904" s="2"/>
    </row>
    <row r="905" spans="1:22" ht="15.7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72"/>
      <c r="N905" s="2"/>
      <c r="O905" s="2"/>
      <c r="P905" s="2"/>
      <c r="Q905" s="2"/>
      <c r="R905" s="2"/>
      <c r="S905" s="2"/>
      <c r="T905" s="2"/>
      <c r="U905" s="2"/>
      <c r="V905" s="2"/>
    </row>
    <row r="906" spans="1:22" ht="15.7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72"/>
      <c r="N906" s="2"/>
      <c r="O906" s="2"/>
      <c r="P906" s="2"/>
      <c r="Q906" s="2"/>
      <c r="R906" s="2"/>
      <c r="S906" s="2"/>
      <c r="T906" s="2"/>
      <c r="U906" s="2"/>
      <c r="V906" s="2"/>
    </row>
    <row r="907" spans="1:22" ht="15.7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72"/>
      <c r="N907" s="2"/>
      <c r="O907" s="2"/>
      <c r="P907" s="2"/>
      <c r="Q907" s="2"/>
      <c r="R907" s="2"/>
      <c r="S907" s="2"/>
      <c r="T907" s="2"/>
      <c r="U907" s="2"/>
      <c r="V907" s="2"/>
    </row>
    <row r="908" spans="1:22" ht="15.7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72"/>
      <c r="N908" s="2"/>
      <c r="O908" s="2"/>
      <c r="P908" s="2"/>
      <c r="Q908" s="2"/>
      <c r="R908" s="2"/>
      <c r="S908" s="2"/>
      <c r="T908" s="2"/>
      <c r="U908" s="2"/>
      <c r="V908" s="2"/>
    </row>
    <row r="909" spans="1:22" ht="15.7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72"/>
      <c r="N909" s="2"/>
      <c r="O909" s="2"/>
      <c r="P909" s="2"/>
      <c r="Q909" s="2"/>
      <c r="R909" s="2"/>
      <c r="S909" s="2"/>
      <c r="T909" s="2"/>
      <c r="U909" s="2"/>
      <c r="V909" s="2"/>
    </row>
    <row r="910" spans="1:22" ht="15.7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72"/>
      <c r="N910" s="2"/>
      <c r="O910" s="2"/>
      <c r="P910" s="2"/>
      <c r="Q910" s="2"/>
      <c r="R910" s="2"/>
      <c r="S910" s="2"/>
      <c r="T910" s="2"/>
      <c r="U910" s="2"/>
      <c r="V910" s="2"/>
    </row>
    <row r="911" spans="1:22" ht="15.7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72"/>
      <c r="N911" s="2"/>
      <c r="O911" s="2"/>
      <c r="P911" s="2"/>
      <c r="Q911" s="2"/>
      <c r="R911" s="2"/>
      <c r="S911" s="2"/>
      <c r="T911" s="2"/>
      <c r="U911" s="2"/>
      <c r="V911" s="2"/>
    </row>
    <row r="912" spans="1:22" ht="15.7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72"/>
      <c r="N912" s="2"/>
      <c r="O912" s="2"/>
      <c r="P912" s="2"/>
      <c r="Q912" s="2"/>
      <c r="R912" s="2"/>
      <c r="S912" s="2"/>
      <c r="T912" s="2"/>
      <c r="U912" s="2"/>
      <c r="V912" s="2"/>
    </row>
    <row r="913" spans="1:22" ht="15.7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72"/>
      <c r="N913" s="2"/>
      <c r="O913" s="2"/>
      <c r="P913" s="2"/>
      <c r="Q913" s="2"/>
      <c r="R913" s="2"/>
      <c r="S913" s="2"/>
      <c r="T913" s="2"/>
      <c r="U913" s="2"/>
      <c r="V913" s="2"/>
    </row>
    <row r="914" spans="1:22" ht="15.7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72"/>
      <c r="N914" s="2"/>
      <c r="O914" s="2"/>
      <c r="P914" s="2"/>
      <c r="Q914" s="2"/>
      <c r="R914" s="2"/>
      <c r="S914" s="2"/>
      <c r="T914" s="2"/>
      <c r="U914" s="2"/>
      <c r="V914" s="2"/>
    </row>
    <row r="915" spans="1:22" ht="15.7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72"/>
      <c r="N915" s="2"/>
      <c r="O915" s="2"/>
      <c r="P915" s="2"/>
      <c r="Q915" s="2"/>
      <c r="R915" s="2"/>
      <c r="S915" s="2"/>
      <c r="T915" s="2"/>
      <c r="U915" s="2"/>
      <c r="V915" s="2"/>
    </row>
    <row r="916" spans="1:22" ht="15.7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72"/>
      <c r="N916" s="2"/>
      <c r="O916" s="2"/>
      <c r="P916" s="2"/>
      <c r="Q916" s="2"/>
      <c r="R916" s="2"/>
      <c r="S916" s="2"/>
      <c r="T916" s="2"/>
      <c r="U916" s="2"/>
      <c r="V916" s="2"/>
    </row>
    <row r="917" spans="1:22" ht="15.7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72"/>
      <c r="N917" s="2"/>
      <c r="O917" s="2"/>
      <c r="P917" s="2"/>
      <c r="Q917" s="2"/>
      <c r="R917" s="2"/>
      <c r="S917" s="2"/>
      <c r="T917" s="2"/>
      <c r="U917" s="2"/>
      <c r="V917" s="2"/>
    </row>
    <row r="918" spans="1:22" ht="15.7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72"/>
      <c r="N918" s="2"/>
      <c r="O918" s="2"/>
      <c r="P918" s="2"/>
      <c r="Q918" s="2"/>
      <c r="R918" s="2"/>
      <c r="S918" s="2"/>
      <c r="T918" s="2"/>
      <c r="U918" s="2"/>
      <c r="V918" s="2"/>
    </row>
    <row r="919" spans="1:22" ht="15.7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72"/>
      <c r="N919" s="2"/>
      <c r="O919" s="2"/>
      <c r="P919" s="2"/>
      <c r="Q919" s="2"/>
      <c r="R919" s="2"/>
      <c r="S919" s="2"/>
      <c r="T919" s="2"/>
      <c r="U919" s="2"/>
      <c r="V919" s="2"/>
    </row>
    <row r="920" spans="1:22" ht="15.7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72"/>
      <c r="N920" s="2"/>
      <c r="O920" s="2"/>
      <c r="P920" s="2"/>
      <c r="Q920" s="2"/>
      <c r="R920" s="2"/>
      <c r="S920" s="2"/>
      <c r="T920" s="2"/>
      <c r="U920" s="2"/>
      <c r="V920" s="2"/>
    </row>
    <row r="921" spans="1:22" ht="15.7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72"/>
      <c r="N921" s="2"/>
      <c r="O921" s="2"/>
      <c r="P921" s="2"/>
      <c r="Q921" s="2"/>
      <c r="R921" s="2"/>
      <c r="S921" s="2"/>
      <c r="T921" s="2"/>
      <c r="U921" s="2"/>
      <c r="V921" s="2"/>
    </row>
    <row r="922" spans="1:22" ht="15.7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72"/>
      <c r="N922" s="2"/>
      <c r="O922" s="2"/>
      <c r="P922" s="2"/>
      <c r="Q922" s="2"/>
      <c r="R922" s="2"/>
      <c r="S922" s="2"/>
      <c r="T922" s="2"/>
      <c r="U922" s="2"/>
      <c r="V922" s="2"/>
    </row>
    <row r="923" spans="1:22" ht="15.7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72"/>
      <c r="N923" s="2"/>
      <c r="O923" s="2"/>
      <c r="P923" s="2"/>
      <c r="Q923" s="2"/>
      <c r="R923" s="2"/>
      <c r="S923" s="2"/>
      <c r="T923" s="2"/>
      <c r="U923" s="2"/>
      <c r="V923" s="2"/>
    </row>
    <row r="924" spans="1:22" ht="15.7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72"/>
      <c r="N924" s="2"/>
      <c r="O924" s="2"/>
      <c r="P924" s="2"/>
      <c r="Q924" s="2"/>
      <c r="R924" s="2"/>
      <c r="S924" s="2"/>
      <c r="T924" s="2"/>
      <c r="U924" s="2"/>
      <c r="V924" s="2"/>
    </row>
    <row r="925" spans="1:22" ht="15.7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72"/>
      <c r="N925" s="2"/>
      <c r="O925" s="2"/>
      <c r="P925" s="2"/>
      <c r="Q925" s="2"/>
      <c r="R925" s="2"/>
      <c r="S925" s="2"/>
      <c r="T925" s="2"/>
      <c r="U925" s="2"/>
      <c r="V925" s="2"/>
    </row>
    <row r="926" spans="1:22" ht="15.7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72"/>
      <c r="N926" s="2"/>
      <c r="O926" s="2"/>
      <c r="P926" s="2"/>
      <c r="Q926" s="2"/>
      <c r="R926" s="2"/>
      <c r="S926" s="2"/>
      <c r="T926" s="2"/>
      <c r="U926" s="2"/>
      <c r="V926" s="2"/>
    </row>
    <row r="927" spans="1:22" ht="15.7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72"/>
      <c r="N927" s="2"/>
      <c r="O927" s="2"/>
      <c r="P927" s="2"/>
      <c r="Q927" s="2"/>
      <c r="R927" s="2"/>
      <c r="S927" s="2"/>
      <c r="T927" s="2"/>
      <c r="U927" s="2"/>
      <c r="V927" s="2"/>
    </row>
    <row r="928" spans="1:22" ht="15.7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72"/>
      <c r="N928" s="2"/>
      <c r="O928" s="2"/>
      <c r="P928" s="2"/>
      <c r="Q928" s="2"/>
      <c r="R928" s="2"/>
      <c r="S928" s="2"/>
      <c r="T928" s="2"/>
      <c r="U928" s="2"/>
      <c r="V928" s="2"/>
    </row>
    <row r="929" spans="1:22" ht="15.7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72"/>
      <c r="N929" s="2"/>
      <c r="O929" s="2"/>
      <c r="P929" s="2"/>
      <c r="Q929" s="2"/>
      <c r="R929" s="2"/>
      <c r="S929" s="2"/>
      <c r="T929" s="2"/>
      <c r="U929" s="2"/>
      <c r="V929" s="2"/>
    </row>
    <row r="930" spans="1:22" ht="15.7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72"/>
      <c r="N930" s="2"/>
      <c r="O930" s="2"/>
      <c r="P930" s="2"/>
      <c r="Q930" s="2"/>
      <c r="R930" s="2"/>
      <c r="S930" s="2"/>
      <c r="T930" s="2"/>
      <c r="U930" s="2"/>
      <c r="V930" s="2"/>
    </row>
    <row r="931" spans="1:22" ht="15.7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72"/>
      <c r="N931" s="2"/>
      <c r="O931" s="2"/>
      <c r="P931" s="2"/>
      <c r="Q931" s="2"/>
      <c r="R931" s="2"/>
      <c r="S931" s="2"/>
      <c r="T931" s="2"/>
      <c r="U931" s="2"/>
      <c r="V931" s="2"/>
    </row>
    <row r="932" spans="1:22" ht="15.7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72"/>
      <c r="N932" s="2"/>
      <c r="O932" s="2"/>
      <c r="P932" s="2"/>
      <c r="Q932" s="2"/>
      <c r="R932" s="2"/>
      <c r="S932" s="2"/>
      <c r="T932" s="2"/>
      <c r="U932" s="2"/>
      <c r="V932" s="2"/>
    </row>
    <row r="933" spans="1:22" ht="15.7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72"/>
      <c r="N933" s="2"/>
      <c r="O933" s="2"/>
      <c r="P933" s="2"/>
      <c r="Q933" s="2"/>
      <c r="R933" s="2"/>
      <c r="S933" s="2"/>
      <c r="T933" s="2"/>
      <c r="U933" s="2"/>
      <c r="V933" s="2"/>
    </row>
    <row r="934" spans="1:22" ht="15.7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72"/>
      <c r="N934" s="2"/>
      <c r="O934" s="2"/>
      <c r="P934" s="2"/>
      <c r="Q934" s="2"/>
      <c r="R934" s="2"/>
      <c r="S934" s="2"/>
      <c r="T934" s="2"/>
      <c r="U934" s="2"/>
      <c r="V934" s="2"/>
    </row>
    <row r="935" spans="1:22" ht="15.7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72"/>
      <c r="N935" s="2"/>
      <c r="O935" s="2"/>
      <c r="P935" s="2"/>
      <c r="Q935" s="2"/>
      <c r="R935" s="2"/>
      <c r="S935" s="2"/>
      <c r="T935" s="2"/>
      <c r="U935" s="2"/>
      <c r="V935" s="2"/>
    </row>
    <row r="936" spans="1:22" ht="15.7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72"/>
      <c r="N936" s="2"/>
      <c r="O936" s="2"/>
      <c r="P936" s="2"/>
      <c r="Q936" s="2"/>
      <c r="R936" s="2"/>
      <c r="S936" s="2"/>
      <c r="T936" s="2"/>
      <c r="U936" s="2"/>
      <c r="V936" s="2"/>
    </row>
    <row r="937" spans="1:22" ht="15.7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72"/>
      <c r="N937" s="2"/>
      <c r="O937" s="2"/>
      <c r="P937" s="2"/>
      <c r="Q937" s="2"/>
      <c r="R937" s="2"/>
      <c r="S937" s="2"/>
      <c r="T937" s="2"/>
      <c r="U937" s="2"/>
      <c r="V937" s="2"/>
    </row>
    <row r="938" spans="1:22" ht="15.7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72"/>
      <c r="N938" s="2"/>
      <c r="O938" s="2"/>
      <c r="P938" s="2"/>
      <c r="Q938" s="2"/>
      <c r="R938" s="2"/>
      <c r="S938" s="2"/>
      <c r="T938" s="2"/>
      <c r="U938" s="2"/>
      <c r="V938" s="2"/>
    </row>
    <row r="939" spans="1:22" ht="15.7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72"/>
      <c r="N939" s="2"/>
      <c r="O939" s="2"/>
      <c r="P939" s="2"/>
      <c r="Q939" s="2"/>
      <c r="R939" s="2"/>
      <c r="S939" s="2"/>
      <c r="T939" s="2"/>
      <c r="U939" s="2"/>
      <c r="V939" s="2"/>
    </row>
    <row r="940" spans="1:22" ht="15.7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72"/>
      <c r="N940" s="2"/>
      <c r="O940" s="2"/>
      <c r="P940" s="2"/>
      <c r="Q940" s="2"/>
      <c r="R940" s="2"/>
      <c r="S940" s="2"/>
      <c r="T940" s="2"/>
      <c r="U940" s="2"/>
      <c r="V940" s="2"/>
    </row>
    <row r="941" spans="1:22" ht="15.7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72"/>
      <c r="N941" s="2"/>
      <c r="O941" s="2"/>
      <c r="P941" s="2"/>
      <c r="Q941" s="2"/>
      <c r="R941" s="2"/>
      <c r="S941" s="2"/>
      <c r="T941" s="2"/>
      <c r="U941" s="2"/>
      <c r="V941" s="2"/>
    </row>
    <row r="942" spans="1:22" ht="15.7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72"/>
      <c r="N942" s="2"/>
      <c r="O942" s="2"/>
      <c r="P942" s="2"/>
      <c r="Q942" s="2"/>
      <c r="R942" s="2"/>
      <c r="S942" s="2"/>
      <c r="T942" s="2"/>
      <c r="U942" s="2"/>
      <c r="V942" s="2"/>
    </row>
    <row r="943" spans="1:22" ht="15.7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72"/>
      <c r="N943" s="2"/>
      <c r="O943" s="2"/>
      <c r="P943" s="2"/>
      <c r="Q943" s="2"/>
      <c r="R943" s="2"/>
      <c r="S943" s="2"/>
      <c r="T943" s="2"/>
      <c r="U943" s="2"/>
      <c r="V943" s="2"/>
    </row>
    <row r="944" spans="1:22" ht="15.7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72"/>
      <c r="N944" s="2"/>
      <c r="O944" s="2"/>
      <c r="P944" s="2"/>
      <c r="Q944" s="2"/>
      <c r="R944" s="2"/>
      <c r="S944" s="2"/>
      <c r="T944" s="2"/>
      <c r="U944" s="2"/>
      <c r="V944" s="2"/>
    </row>
    <row r="945" spans="1:22" ht="15.7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72"/>
      <c r="N945" s="2"/>
      <c r="O945" s="2"/>
      <c r="P945" s="2"/>
      <c r="Q945" s="2"/>
      <c r="R945" s="2"/>
      <c r="S945" s="2"/>
      <c r="T945" s="2"/>
      <c r="U945" s="2"/>
      <c r="V945" s="2"/>
    </row>
    <row r="946" spans="1:22" ht="15.7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72"/>
      <c r="N946" s="2"/>
      <c r="O946" s="2"/>
      <c r="P946" s="2"/>
      <c r="Q946" s="2"/>
      <c r="R946" s="2"/>
      <c r="S946" s="2"/>
      <c r="T946" s="2"/>
      <c r="U946" s="2"/>
      <c r="V946" s="2"/>
    </row>
    <row r="947" spans="1:22" ht="15.7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72"/>
      <c r="N947" s="2"/>
      <c r="O947" s="2"/>
      <c r="P947" s="2"/>
      <c r="Q947" s="2"/>
      <c r="R947" s="2"/>
      <c r="S947" s="2"/>
      <c r="T947" s="2"/>
      <c r="U947" s="2"/>
      <c r="V947" s="2"/>
    </row>
    <row r="948" spans="1:22" ht="15.7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72"/>
      <c r="N948" s="2"/>
      <c r="O948" s="2"/>
      <c r="P948" s="2"/>
      <c r="Q948" s="2"/>
      <c r="R948" s="2"/>
      <c r="S948" s="2"/>
      <c r="T948" s="2"/>
      <c r="U948" s="2"/>
      <c r="V948" s="2"/>
    </row>
    <row r="949" spans="1:22" ht="15.7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72"/>
      <c r="N949" s="2"/>
      <c r="O949" s="2"/>
      <c r="P949" s="2"/>
      <c r="Q949" s="2"/>
      <c r="R949" s="2"/>
      <c r="S949" s="2"/>
      <c r="T949" s="2"/>
      <c r="U949" s="2"/>
      <c r="V949" s="2"/>
    </row>
    <row r="950" spans="1:22" ht="15.7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72"/>
      <c r="N950" s="2"/>
      <c r="O950" s="2"/>
      <c r="P950" s="2"/>
      <c r="Q950" s="2"/>
      <c r="R950" s="2"/>
      <c r="S950" s="2"/>
      <c r="T950" s="2"/>
      <c r="U950" s="2"/>
      <c r="V950" s="2"/>
    </row>
    <row r="951" spans="1:22" ht="15.7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72"/>
      <c r="N951" s="2"/>
      <c r="O951" s="2"/>
      <c r="P951" s="2"/>
      <c r="Q951" s="2"/>
      <c r="R951" s="2"/>
      <c r="S951" s="2"/>
      <c r="T951" s="2"/>
      <c r="U951" s="2"/>
      <c r="V951" s="2"/>
    </row>
    <row r="952" spans="1:22" ht="15.7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72"/>
      <c r="N952" s="2"/>
      <c r="O952" s="2"/>
      <c r="P952" s="2"/>
      <c r="Q952" s="2"/>
      <c r="R952" s="2"/>
      <c r="S952" s="2"/>
      <c r="T952" s="2"/>
      <c r="U952" s="2"/>
      <c r="V952" s="2"/>
    </row>
    <row r="953" spans="1:22" ht="15.7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72"/>
      <c r="N953" s="2"/>
      <c r="O953" s="2"/>
      <c r="P953" s="2"/>
      <c r="Q953" s="2"/>
      <c r="R953" s="2"/>
      <c r="S953" s="2"/>
      <c r="T953" s="2"/>
      <c r="U953" s="2"/>
      <c r="V953" s="2"/>
    </row>
    <row r="954" spans="1:22" ht="15.7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72"/>
      <c r="N954" s="2"/>
      <c r="O954" s="2"/>
      <c r="P954" s="2"/>
      <c r="Q954" s="2"/>
      <c r="R954" s="2"/>
      <c r="S954" s="2"/>
      <c r="T954" s="2"/>
      <c r="U954" s="2"/>
      <c r="V954" s="2"/>
    </row>
    <row r="955" spans="1:22" ht="15.7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72"/>
      <c r="N955" s="2"/>
      <c r="O955" s="2"/>
      <c r="P955" s="2"/>
      <c r="Q955" s="2"/>
      <c r="R955" s="2"/>
      <c r="S955" s="2"/>
      <c r="T955" s="2"/>
      <c r="U955" s="2"/>
      <c r="V955" s="2"/>
    </row>
    <row r="956" spans="1:22" ht="15.7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72"/>
      <c r="N956" s="2"/>
      <c r="O956" s="2"/>
      <c r="P956" s="2"/>
      <c r="Q956" s="2"/>
      <c r="R956" s="2"/>
      <c r="S956" s="2"/>
      <c r="T956" s="2"/>
      <c r="U956" s="2"/>
      <c r="V956" s="2"/>
    </row>
    <row r="957" spans="1:22" ht="15.7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72"/>
      <c r="N957" s="2"/>
      <c r="O957" s="2"/>
      <c r="P957" s="2"/>
      <c r="Q957" s="2"/>
      <c r="R957" s="2"/>
      <c r="S957" s="2"/>
      <c r="T957" s="2"/>
      <c r="U957" s="2"/>
      <c r="V957" s="2"/>
    </row>
    <row r="958" spans="1:22" ht="15.7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72"/>
      <c r="N958" s="2"/>
      <c r="O958" s="2"/>
      <c r="P958" s="2"/>
      <c r="Q958" s="2"/>
      <c r="R958" s="2"/>
      <c r="S958" s="2"/>
      <c r="T958" s="2"/>
      <c r="U958" s="2"/>
      <c r="V958" s="2"/>
    </row>
    <row r="959" spans="1:22" ht="15.7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72"/>
      <c r="N959" s="2"/>
      <c r="O959" s="2"/>
      <c r="P959" s="2"/>
      <c r="Q959" s="2"/>
      <c r="R959" s="2"/>
      <c r="S959" s="2"/>
      <c r="T959" s="2"/>
      <c r="U959" s="2"/>
      <c r="V959" s="2"/>
    </row>
    <row r="960" spans="1:22" ht="15.7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72"/>
      <c r="N960" s="2"/>
      <c r="O960" s="2"/>
      <c r="P960" s="2"/>
      <c r="Q960" s="2"/>
      <c r="R960" s="2"/>
      <c r="S960" s="2"/>
      <c r="T960" s="2"/>
      <c r="U960" s="2"/>
      <c r="V960" s="2"/>
    </row>
    <row r="961" spans="1:22" ht="15.7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72"/>
      <c r="N961" s="2"/>
      <c r="O961" s="2"/>
      <c r="P961" s="2"/>
      <c r="Q961" s="2"/>
      <c r="R961" s="2"/>
      <c r="S961" s="2"/>
      <c r="T961" s="2"/>
      <c r="U961" s="2"/>
      <c r="V961" s="2"/>
    </row>
    <row r="962" spans="1:22" ht="15.7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72"/>
      <c r="N962" s="2"/>
      <c r="O962" s="2"/>
      <c r="P962" s="2"/>
      <c r="Q962" s="2"/>
      <c r="R962" s="2"/>
      <c r="S962" s="2"/>
      <c r="T962" s="2"/>
      <c r="U962" s="2"/>
      <c r="V962" s="2"/>
    </row>
    <row r="963" spans="1:22" ht="15.7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72"/>
      <c r="N963" s="2"/>
      <c r="O963" s="2"/>
      <c r="P963" s="2"/>
      <c r="Q963" s="2"/>
      <c r="R963" s="2"/>
      <c r="S963" s="2"/>
      <c r="T963" s="2"/>
      <c r="U963" s="2"/>
      <c r="V963" s="2"/>
    </row>
    <row r="964" spans="1:22" ht="15.7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72"/>
      <c r="N964" s="2"/>
      <c r="O964" s="2"/>
      <c r="P964" s="2"/>
      <c r="Q964" s="2"/>
      <c r="R964" s="2"/>
      <c r="S964" s="2"/>
      <c r="T964" s="2"/>
      <c r="U964" s="2"/>
      <c r="V964" s="2"/>
    </row>
    <row r="965" spans="1:22" ht="15.7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72"/>
      <c r="N965" s="2"/>
      <c r="O965" s="2"/>
      <c r="P965" s="2"/>
      <c r="Q965" s="2"/>
      <c r="R965" s="2"/>
      <c r="S965" s="2"/>
      <c r="T965" s="2"/>
      <c r="U965" s="2"/>
      <c r="V965" s="2"/>
    </row>
    <row r="966" spans="1:22" ht="15.7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72"/>
      <c r="N966" s="2"/>
      <c r="O966" s="2"/>
      <c r="P966" s="2"/>
      <c r="Q966" s="2"/>
      <c r="R966" s="2"/>
      <c r="S966" s="2"/>
      <c r="T966" s="2"/>
      <c r="U966" s="2"/>
      <c r="V966" s="2"/>
    </row>
    <row r="967" spans="1:22" ht="15.7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72"/>
      <c r="N967" s="2"/>
      <c r="O967" s="2"/>
      <c r="P967" s="2"/>
      <c r="Q967" s="2"/>
      <c r="R967" s="2"/>
      <c r="S967" s="2"/>
      <c r="T967" s="2"/>
      <c r="U967" s="2"/>
      <c r="V967" s="2"/>
    </row>
    <row r="968" spans="1:22" ht="15.7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72"/>
      <c r="N968" s="2"/>
      <c r="O968" s="2"/>
      <c r="P968" s="2"/>
      <c r="Q968" s="2"/>
      <c r="R968" s="2"/>
      <c r="S968" s="2"/>
      <c r="T968" s="2"/>
      <c r="U968" s="2"/>
      <c r="V968" s="2"/>
    </row>
    <row r="969" spans="1:22" ht="15.7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72"/>
      <c r="N969" s="2"/>
      <c r="O969" s="2"/>
      <c r="P969" s="2"/>
      <c r="Q969" s="2"/>
      <c r="R969" s="2"/>
      <c r="S969" s="2"/>
      <c r="T969" s="2"/>
      <c r="U969" s="2"/>
      <c r="V969" s="2"/>
    </row>
    <row r="970" spans="1:22" ht="15.7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72"/>
      <c r="N970" s="2"/>
      <c r="O970" s="2"/>
      <c r="P970" s="2"/>
      <c r="Q970" s="2"/>
      <c r="R970" s="2"/>
      <c r="S970" s="2"/>
      <c r="T970" s="2"/>
      <c r="U970" s="2"/>
      <c r="V970" s="2"/>
    </row>
    <row r="971" spans="1:22" ht="15.7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72"/>
      <c r="N971" s="2"/>
      <c r="O971" s="2"/>
      <c r="P971" s="2"/>
      <c r="Q971" s="2"/>
      <c r="R971" s="2"/>
      <c r="S971" s="2"/>
      <c r="T971" s="2"/>
      <c r="U971" s="2"/>
      <c r="V971" s="2"/>
    </row>
    <row r="972" spans="1:22" ht="15.7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72"/>
      <c r="N972" s="2"/>
      <c r="O972" s="2"/>
      <c r="P972" s="2"/>
      <c r="Q972" s="2"/>
      <c r="R972" s="2"/>
      <c r="S972" s="2"/>
      <c r="T972" s="2"/>
      <c r="U972" s="2"/>
      <c r="V972" s="2"/>
    </row>
    <row r="973" spans="1:22" ht="15.7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72"/>
      <c r="N973" s="2"/>
      <c r="O973" s="2"/>
      <c r="P973" s="2"/>
      <c r="Q973" s="2"/>
      <c r="R973" s="2"/>
      <c r="S973" s="2"/>
      <c r="T973" s="2"/>
      <c r="U973" s="2"/>
      <c r="V973" s="2"/>
    </row>
    <row r="974" spans="1:22" ht="15.7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72"/>
      <c r="N974" s="2"/>
      <c r="O974" s="2"/>
      <c r="P974" s="2"/>
      <c r="Q974" s="2"/>
      <c r="R974" s="2"/>
      <c r="S974" s="2"/>
      <c r="T974" s="2"/>
      <c r="U974" s="2"/>
      <c r="V974" s="2"/>
    </row>
    <row r="975" spans="1:22" ht="15.7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72"/>
      <c r="N975" s="2"/>
      <c r="O975" s="2"/>
      <c r="P975" s="2"/>
      <c r="Q975" s="2"/>
      <c r="R975" s="2"/>
      <c r="S975" s="2"/>
      <c r="T975" s="2"/>
      <c r="U975" s="2"/>
      <c r="V975" s="2"/>
    </row>
    <row r="976" spans="1:22" ht="15.7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72"/>
      <c r="N976" s="2"/>
      <c r="O976" s="2"/>
      <c r="P976" s="2"/>
      <c r="Q976" s="2"/>
      <c r="R976" s="2"/>
      <c r="S976" s="2"/>
      <c r="T976" s="2"/>
      <c r="U976" s="2"/>
      <c r="V976" s="2"/>
    </row>
    <row r="977" spans="1:22" ht="15.7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72"/>
      <c r="N977" s="2"/>
      <c r="O977" s="2"/>
      <c r="P977" s="2"/>
      <c r="Q977" s="2"/>
      <c r="R977" s="2"/>
      <c r="S977" s="2"/>
      <c r="T977" s="2"/>
      <c r="U977" s="2"/>
      <c r="V977" s="2"/>
    </row>
    <row r="978" spans="1:22" ht="15.7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72"/>
      <c r="N978" s="2"/>
      <c r="O978" s="2"/>
      <c r="P978" s="2"/>
      <c r="Q978" s="2"/>
      <c r="R978" s="2"/>
      <c r="S978" s="2"/>
      <c r="T978" s="2"/>
      <c r="U978" s="2"/>
      <c r="V978" s="2"/>
    </row>
    <row r="979" spans="1:22" ht="15.7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72"/>
      <c r="N979" s="2"/>
      <c r="O979" s="2"/>
      <c r="P979" s="2"/>
      <c r="Q979" s="2"/>
      <c r="R979" s="2"/>
      <c r="S979" s="2"/>
      <c r="T979" s="2"/>
      <c r="U979" s="2"/>
      <c r="V979" s="2"/>
    </row>
    <row r="980" spans="1:22" ht="15.7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72"/>
      <c r="N980" s="2"/>
      <c r="O980" s="2"/>
      <c r="P980" s="2"/>
      <c r="Q980" s="2"/>
      <c r="R980" s="2"/>
      <c r="S980" s="2"/>
      <c r="T980" s="2"/>
      <c r="U980" s="2"/>
      <c r="V980" s="2"/>
    </row>
    <row r="981" spans="1:22" ht="15.7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72"/>
      <c r="N981" s="2"/>
      <c r="O981" s="2"/>
      <c r="P981" s="2"/>
      <c r="Q981" s="2"/>
      <c r="R981" s="2"/>
      <c r="S981" s="2"/>
      <c r="T981" s="2"/>
      <c r="U981" s="2"/>
      <c r="V981" s="2"/>
    </row>
    <row r="982" spans="1:22" ht="15.7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72"/>
      <c r="N982" s="2"/>
      <c r="O982" s="2"/>
      <c r="P982" s="2"/>
      <c r="Q982" s="2"/>
      <c r="R982" s="2"/>
      <c r="S982" s="2"/>
      <c r="T982" s="2"/>
      <c r="U982" s="2"/>
      <c r="V982" s="2"/>
    </row>
    <row r="983" spans="1:22" ht="15.7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72"/>
      <c r="N983" s="2"/>
      <c r="O983" s="2"/>
      <c r="P983" s="2"/>
      <c r="Q983" s="2"/>
      <c r="R983" s="2"/>
      <c r="S983" s="2"/>
      <c r="T983" s="2"/>
      <c r="U983" s="2"/>
      <c r="V983" s="2"/>
    </row>
    <row r="984" spans="1:22" ht="15.7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72"/>
      <c r="N984" s="2"/>
      <c r="O984" s="2"/>
      <c r="P984" s="2"/>
      <c r="Q984" s="2"/>
      <c r="R984" s="2"/>
      <c r="S984" s="2"/>
      <c r="T984" s="2"/>
      <c r="U984" s="2"/>
      <c r="V984" s="2"/>
    </row>
    <row r="985" spans="1:22" ht="15.7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72"/>
      <c r="N985" s="2"/>
      <c r="O985" s="2"/>
      <c r="P985" s="2"/>
      <c r="Q985" s="2"/>
      <c r="R985" s="2"/>
      <c r="S985" s="2"/>
      <c r="T985" s="2"/>
      <c r="U985" s="2"/>
      <c r="V985" s="2"/>
    </row>
    <row r="986" spans="1:22" ht="15.7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72"/>
      <c r="N986" s="2"/>
      <c r="O986" s="2"/>
      <c r="P986" s="2"/>
      <c r="Q986" s="2"/>
      <c r="R986" s="2"/>
      <c r="S986" s="2"/>
      <c r="T986" s="2"/>
      <c r="U986" s="2"/>
      <c r="V986" s="2"/>
    </row>
    <row r="987" spans="1:22" ht="15.7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72"/>
      <c r="N987" s="2"/>
      <c r="O987" s="2"/>
      <c r="P987" s="2"/>
      <c r="Q987" s="2"/>
      <c r="R987" s="2"/>
      <c r="S987" s="2"/>
      <c r="T987" s="2"/>
      <c r="U987" s="2"/>
      <c r="V987" s="2"/>
    </row>
    <row r="988" spans="1:22" ht="15.7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72"/>
      <c r="N988" s="2"/>
      <c r="O988" s="2"/>
      <c r="P988" s="2"/>
      <c r="Q988" s="2"/>
      <c r="R988" s="2"/>
      <c r="S988" s="2"/>
      <c r="T988" s="2"/>
      <c r="U988" s="2"/>
      <c r="V988" s="2"/>
    </row>
    <row r="989" spans="1:22" ht="15.7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72"/>
      <c r="N989" s="2"/>
      <c r="O989" s="2"/>
      <c r="P989" s="2"/>
      <c r="Q989" s="2"/>
      <c r="R989" s="2"/>
      <c r="S989" s="2"/>
      <c r="T989" s="2"/>
      <c r="U989" s="2"/>
      <c r="V989" s="2"/>
    </row>
    <row r="990" spans="1:22" ht="15.7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72"/>
      <c r="N990" s="2"/>
      <c r="O990" s="2"/>
      <c r="P990" s="2"/>
      <c r="Q990" s="2"/>
      <c r="R990" s="2"/>
      <c r="S990" s="2"/>
      <c r="T990" s="2"/>
      <c r="U990" s="2"/>
      <c r="V990" s="2"/>
    </row>
    <row r="991" spans="1:22" ht="15.7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72"/>
      <c r="N991" s="2"/>
      <c r="O991" s="2"/>
      <c r="P991" s="2"/>
      <c r="Q991" s="2"/>
      <c r="R991" s="2"/>
      <c r="S991" s="2"/>
      <c r="T991" s="2"/>
      <c r="U991" s="2"/>
      <c r="V991" s="2"/>
    </row>
    <row r="992" spans="1:22" ht="15.7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72"/>
      <c r="N992" s="2"/>
      <c r="O992" s="2"/>
      <c r="P992" s="2"/>
      <c r="Q992" s="2"/>
      <c r="R992" s="2"/>
      <c r="S992" s="2"/>
      <c r="T992" s="2"/>
      <c r="U992" s="2"/>
      <c r="V992" s="2"/>
    </row>
    <row r="993" spans="1:22" ht="15.7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72"/>
      <c r="N993" s="2"/>
      <c r="O993" s="2"/>
      <c r="P993" s="2"/>
      <c r="Q993" s="2"/>
      <c r="R993" s="2"/>
      <c r="S993" s="2"/>
      <c r="T993" s="2"/>
      <c r="U993" s="2"/>
      <c r="V993" s="2"/>
    </row>
    <row r="994" spans="1:22" ht="15.7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72"/>
      <c r="N994" s="2"/>
      <c r="O994" s="2"/>
      <c r="P994" s="2"/>
      <c r="Q994" s="2"/>
      <c r="R994" s="2"/>
      <c r="S994" s="2"/>
      <c r="T994" s="2"/>
      <c r="U994" s="2"/>
      <c r="V994" s="2"/>
    </row>
    <row r="995" spans="1:22" ht="15.7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72"/>
      <c r="N995" s="2"/>
      <c r="O995" s="2"/>
      <c r="P995" s="2"/>
      <c r="Q995" s="2"/>
      <c r="R995" s="2"/>
      <c r="S995" s="2"/>
      <c r="T995" s="2"/>
      <c r="U995" s="2"/>
      <c r="V995" s="2"/>
    </row>
    <row r="996" spans="1:22" ht="15.7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72"/>
      <c r="N996" s="2"/>
      <c r="O996" s="2"/>
      <c r="P996" s="2"/>
      <c r="Q996" s="2"/>
      <c r="R996" s="2"/>
      <c r="S996" s="2"/>
      <c r="T996" s="2"/>
      <c r="U996" s="2"/>
      <c r="V996" s="2"/>
    </row>
    <row r="997" spans="1:22" ht="15.7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72"/>
      <c r="N997" s="2"/>
      <c r="O997" s="2"/>
      <c r="P997" s="2"/>
      <c r="Q997" s="2"/>
      <c r="R997" s="2"/>
      <c r="S997" s="2"/>
      <c r="T997" s="2"/>
      <c r="U997" s="2"/>
      <c r="V997" s="2"/>
    </row>
    <row r="998" spans="1:22" ht="15.7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72"/>
      <c r="N998" s="2"/>
      <c r="O998" s="2"/>
      <c r="P998" s="2"/>
      <c r="Q998" s="2"/>
      <c r="R998" s="2"/>
      <c r="S998" s="2"/>
      <c r="T998" s="2"/>
      <c r="U998" s="2"/>
      <c r="V998" s="2"/>
    </row>
    <row r="999" spans="1:22" ht="15.7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72"/>
      <c r="N999" s="2"/>
      <c r="O999" s="2"/>
      <c r="P999" s="2"/>
      <c r="Q999" s="2"/>
      <c r="R999" s="2"/>
      <c r="S999" s="2"/>
      <c r="T999" s="2"/>
      <c r="U999" s="2"/>
      <c r="V999" s="2"/>
    </row>
    <row r="1000" spans="1:22" ht="15.7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72"/>
      <c r="N1000" s="2"/>
      <c r="O1000" s="2"/>
      <c r="P1000" s="2"/>
      <c r="Q1000" s="2"/>
      <c r="R1000" s="2"/>
      <c r="S1000" s="2"/>
      <c r="T1000" s="2"/>
      <c r="U1000" s="2"/>
      <c r="V1000" s="2"/>
    </row>
  </sheetData>
  <autoFilter ref="A1:V164" xr:uid="{00000000-0009-0000-0000-000003000000}"/>
  <mergeCells count="133">
    <mergeCell ref="K162:K164"/>
    <mergeCell ref="L162:L164"/>
    <mergeCell ref="K147:K151"/>
    <mergeCell ref="L147:L151"/>
    <mergeCell ref="K152:K156"/>
    <mergeCell ref="L152:L156"/>
    <mergeCell ref="K157:K161"/>
    <mergeCell ref="L157:L161"/>
    <mergeCell ref="K132:K136"/>
    <mergeCell ref="L132:L136"/>
    <mergeCell ref="K137:K141"/>
    <mergeCell ref="L137:L141"/>
    <mergeCell ref="K142:K146"/>
    <mergeCell ref="L142:L146"/>
    <mergeCell ref="K117:K121"/>
    <mergeCell ref="L117:L121"/>
    <mergeCell ref="K122:K126"/>
    <mergeCell ref="L122:L126"/>
    <mergeCell ref="K127:K131"/>
    <mergeCell ref="L127:L131"/>
    <mergeCell ref="K102:K106"/>
    <mergeCell ref="L102:L106"/>
    <mergeCell ref="K107:K111"/>
    <mergeCell ref="L107:L111"/>
    <mergeCell ref="K112:K116"/>
    <mergeCell ref="L112:L116"/>
    <mergeCell ref="I32:I36"/>
    <mergeCell ref="K32:K36"/>
    <mergeCell ref="I37:I41"/>
    <mergeCell ref="I42:I46"/>
    <mergeCell ref="K87:K91"/>
    <mergeCell ref="L87:L91"/>
    <mergeCell ref="K92:K96"/>
    <mergeCell ref="L92:L96"/>
    <mergeCell ref="K97:K101"/>
    <mergeCell ref="L97:L101"/>
    <mergeCell ref="K72:K76"/>
    <mergeCell ref="L72:L76"/>
    <mergeCell ref="K77:K81"/>
    <mergeCell ref="L77:L81"/>
    <mergeCell ref="K82:K86"/>
    <mergeCell ref="L82:L86"/>
    <mergeCell ref="AA3:AD4"/>
    <mergeCell ref="L22:L26"/>
    <mergeCell ref="L27:L31"/>
    <mergeCell ref="L32:L36"/>
    <mergeCell ref="K37:K41"/>
    <mergeCell ref="L37:L41"/>
    <mergeCell ref="K42:K46"/>
    <mergeCell ref="L42:L46"/>
    <mergeCell ref="K47:K51"/>
    <mergeCell ref="L47:L51"/>
    <mergeCell ref="A77:A81"/>
    <mergeCell ref="A82:A86"/>
    <mergeCell ref="A87:A91"/>
    <mergeCell ref="A92:A96"/>
    <mergeCell ref="A97:A101"/>
    <mergeCell ref="I87:I91"/>
    <mergeCell ref="I92:I96"/>
    <mergeCell ref="I62:I66"/>
    <mergeCell ref="I67:I71"/>
    <mergeCell ref="I72:I76"/>
    <mergeCell ref="I77:I81"/>
    <mergeCell ref="I82:I86"/>
    <mergeCell ref="A32:A36"/>
    <mergeCell ref="I12:I16"/>
    <mergeCell ref="L12:L16"/>
    <mergeCell ref="K22:K26"/>
    <mergeCell ref="K27:K31"/>
    <mergeCell ref="I47:I51"/>
    <mergeCell ref="A62:A66"/>
    <mergeCell ref="A67:A71"/>
    <mergeCell ref="A72:A76"/>
    <mergeCell ref="A37:A41"/>
    <mergeCell ref="A42:A46"/>
    <mergeCell ref="A47:A51"/>
    <mergeCell ref="A52:A56"/>
    <mergeCell ref="A57:A61"/>
    <mergeCell ref="L57:L61"/>
    <mergeCell ref="K62:K66"/>
    <mergeCell ref="L62:L66"/>
    <mergeCell ref="K67:K71"/>
    <mergeCell ref="L67:L71"/>
    <mergeCell ref="I52:I56"/>
    <mergeCell ref="I57:I61"/>
    <mergeCell ref="K52:K56"/>
    <mergeCell ref="L52:L56"/>
    <mergeCell ref="K57:K61"/>
    <mergeCell ref="K7:K11"/>
    <mergeCell ref="K12:K16"/>
    <mergeCell ref="I17:I21"/>
    <mergeCell ref="K17:K21"/>
    <mergeCell ref="L17:L21"/>
    <mergeCell ref="I22:I26"/>
    <mergeCell ref="I27:I31"/>
    <mergeCell ref="A2:A6"/>
    <mergeCell ref="I2:I6"/>
    <mergeCell ref="K2:K6"/>
    <mergeCell ref="L2:L6"/>
    <mergeCell ref="I7:I11"/>
    <mergeCell ref="L7:L11"/>
    <mergeCell ref="A7:A11"/>
    <mergeCell ref="A12:A16"/>
    <mergeCell ref="A17:A21"/>
    <mergeCell ref="A22:A26"/>
    <mergeCell ref="A27:A31"/>
    <mergeCell ref="A162:A164"/>
    <mergeCell ref="A112:A116"/>
    <mergeCell ref="A117:A121"/>
    <mergeCell ref="A122:A126"/>
    <mergeCell ref="A127:A131"/>
    <mergeCell ref="A132:A136"/>
    <mergeCell ref="A137:A141"/>
    <mergeCell ref="A142:A146"/>
    <mergeCell ref="A102:A106"/>
    <mergeCell ref="A107:A111"/>
    <mergeCell ref="A147:A151"/>
    <mergeCell ref="A152:A156"/>
    <mergeCell ref="A157:A161"/>
    <mergeCell ref="I157:I161"/>
    <mergeCell ref="I162:I164"/>
    <mergeCell ref="I97:I101"/>
    <mergeCell ref="I102:I106"/>
    <mergeCell ref="I117:I121"/>
    <mergeCell ref="I122:I126"/>
    <mergeCell ref="I127:I131"/>
    <mergeCell ref="I132:I136"/>
    <mergeCell ref="I137:I141"/>
    <mergeCell ref="I142:I146"/>
    <mergeCell ref="I147:I151"/>
    <mergeCell ref="I152:I156"/>
    <mergeCell ref="I107:I111"/>
    <mergeCell ref="I112:I116"/>
  </mergeCells>
  <conditionalFormatting sqref="U2:U164">
    <cfRule type="expression" dxfId="3" priority="3">
      <formula>$U2="نعم"</formula>
    </cfRule>
    <cfRule type="expression" dxfId="2" priority="4">
      <formula>$U2="لا"</formula>
    </cfRule>
  </conditionalFormatting>
  <conditionalFormatting sqref="V2:V164">
    <cfRule type="expression" dxfId="1" priority="1">
      <formula>$V2="ناجح"</formula>
    </cfRule>
    <cfRule type="expression" dxfId="0" priority="2">
      <formula>$V2="لم ينجح"</formula>
    </cfRule>
  </conditionalFormatting>
  <pageMargins left="0.75" right="0.75" top="1" bottom="1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/>
  </sheetViews>
  <sheetFormatPr defaultColWidth="14.3984375" defaultRowHeight="15" customHeight="1" x14ac:dyDescent="0.3"/>
  <cols>
    <col min="1" max="2" width="12" customWidth="1"/>
    <col min="3" max="3" width="18" customWidth="1"/>
    <col min="4" max="4" width="14" customWidth="1"/>
    <col min="5" max="5" width="12" customWidth="1"/>
    <col min="6" max="26" width="8.69921875" customWidth="1"/>
  </cols>
  <sheetData>
    <row r="1" spans="1:5" ht="15" customHeight="1" x14ac:dyDescent="0.3">
      <c r="A1" s="3" t="s">
        <v>1054</v>
      </c>
      <c r="B1" s="2"/>
      <c r="C1" s="2"/>
      <c r="D1" s="2"/>
      <c r="E1" s="2"/>
    </row>
    <row r="2" spans="1:5" ht="15" customHeight="1" x14ac:dyDescent="0.3">
      <c r="A2" s="4" t="s">
        <v>28</v>
      </c>
      <c r="B2" s="4" t="s">
        <v>1059</v>
      </c>
      <c r="C2" s="4" t="s">
        <v>1060</v>
      </c>
      <c r="D2" s="4" t="s">
        <v>1061</v>
      </c>
      <c r="E2" s="4" t="s">
        <v>1062</v>
      </c>
    </row>
    <row r="3" spans="1:5" ht="15" customHeight="1" x14ac:dyDescent="0.3">
      <c r="A3" s="65" t="s">
        <v>54</v>
      </c>
      <c r="B3" s="65">
        <f>COUNTIF(Project_Teams!A:A,A3)</f>
        <v>1</v>
      </c>
      <c r="C3" s="66">
        <f>IFERROR(AVERAGEIF(Project_Teams!A:A,A3,Project_Teams!T:T),0)</f>
        <v>43.518518518518519</v>
      </c>
      <c r="D3" s="65">
        <f>COUNTIFS(Project_Teams!A:A,A3,Project_Teams!V:V,"ناجح")</f>
        <v>0</v>
      </c>
      <c r="E3" s="67">
        <f t="shared" ref="E3:E35" si="0">IF(B3=0,0,D3/B3)</f>
        <v>0</v>
      </c>
    </row>
    <row r="4" spans="1:5" ht="15" customHeight="1" x14ac:dyDescent="0.3">
      <c r="A4" s="65" t="s">
        <v>123</v>
      </c>
      <c r="B4" s="65">
        <f>COUNTIF(Project_Teams!A:A,A4)</f>
        <v>1</v>
      </c>
      <c r="C4" s="66">
        <f>IFERROR(AVERAGEIF(Project_Teams!A:A,A4,Project_Teams!T:T),0)</f>
        <v>42.18518518518519</v>
      </c>
      <c r="D4" s="65">
        <f>COUNTIFS(Project_Teams!A:A,A4,Project_Teams!V:V,"ناجح")</f>
        <v>0</v>
      </c>
      <c r="E4" s="67">
        <f t="shared" si="0"/>
        <v>0</v>
      </c>
    </row>
    <row r="5" spans="1:5" ht="15" customHeight="1" x14ac:dyDescent="0.3">
      <c r="A5" s="65" t="s">
        <v>161</v>
      </c>
      <c r="B5" s="65">
        <f>COUNTIF(Project_Teams!A:A,A5)</f>
        <v>1</v>
      </c>
      <c r="C5" s="66">
        <f>IFERROR(AVERAGEIF(Project_Teams!A:A,A5,Project_Teams!T:T),0)</f>
        <v>36.407407407407412</v>
      </c>
      <c r="D5" s="65">
        <f>COUNTIFS(Project_Teams!A:A,A5,Project_Teams!V:V,"ناجح")</f>
        <v>0</v>
      </c>
      <c r="E5" s="67">
        <f t="shared" si="0"/>
        <v>0</v>
      </c>
    </row>
    <row r="6" spans="1:5" ht="15" customHeight="1" x14ac:dyDescent="0.3">
      <c r="A6" s="65" t="s">
        <v>190</v>
      </c>
      <c r="B6" s="65">
        <f>COUNTIF(Project_Teams!A:A,A6)</f>
        <v>1</v>
      </c>
      <c r="C6" s="66">
        <f>IFERROR(AVERAGEIF(Project_Teams!A:A,A6,Project_Teams!T:T),0)</f>
        <v>45.296296296296305</v>
      </c>
      <c r="D6" s="65">
        <f>COUNTIFS(Project_Teams!A:A,A6,Project_Teams!V:V,"ناجح")</f>
        <v>0</v>
      </c>
      <c r="E6" s="67">
        <f t="shared" si="0"/>
        <v>0</v>
      </c>
    </row>
    <row r="7" spans="1:5" ht="15" customHeight="1" x14ac:dyDescent="0.3">
      <c r="A7" s="65" t="s">
        <v>226</v>
      </c>
      <c r="B7" s="65">
        <f>COUNTIF(Project_Teams!A:A,A7)</f>
        <v>1</v>
      </c>
      <c r="C7" s="66">
        <f>IFERROR(AVERAGEIF(Project_Teams!A:A,A7,Project_Teams!T:T),0)</f>
        <v>31.851851851851848</v>
      </c>
      <c r="D7" s="65">
        <f>COUNTIFS(Project_Teams!A:A,A7,Project_Teams!V:V,"ناجح")</f>
        <v>0</v>
      </c>
      <c r="E7" s="67">
        <f t="shared" si="0"/>
        <v>0</v>
      </c>
    </row>
    <row r="8" spans="1:5" ht="15" customHeight="1" x14ac:dyDescent="0.3">
      <c r="A8" s="65" t="s">
        <v>243</v>
      </c>
      <c r="B8" s="65">
        <f>COUNTIF(Project_Teams!A:A,A8)</f>
        <v>1</v>
      </c>
      <c r="C8" s="66">
        <f>IFERROR(AVERAGEIF(Project_Teams!A:A,A8,Project_Teams!T:T),0)</f>
        <v>39.814814814814824</v>
      </c>
      <c r="D8" s="65">
        <f>COUNTIFS(Project_Teams!A:A,A8,Project_Teams!V:V,"ناجح")</f>
        <v>0</v>
      </c>
      <c r="E8" s="67">
        <f t="shared" si="0"/>
        <v>0</v>
      </c>
    </row>
    <row r="9" spans="1:5" ht="15" customHeight="1" x14ac:dyDescent="0.3">
      <c r="A9" s="65" t="s">
        <v>257</v>
      </c>
      <c r="B9" s="65">
        <f>COUNTIF(Project_Teams!A:A,A9)</f>
        <v>1</v>
      </c>
      <c r="C9" s="66">
        <f>IFERROR(AVERAGEIF(Project_Teams!A:A,A9,Project_Teams!T:T),0)</f>
        <v>45</v>
      </c>
      <c r="D9" s="65">
        <f>COUNTIFS(Project_Teams!A:A,A9,Project_Teams!V:V,"ناجح")</f>
        <v>0</v>
      </c>
      <c r="E9" s="67">
        <f t="shared" si="0"/>
        <v>0</v>
      </c>
    </row>
    <row r="10" spans="1:5" ht="15" customHeight="1" x14ac:dyDescent="0.3">
      <c r="A10" s="65" t="s">
        <v>268</v>
      </c>
      <c r="B10" s="65">
        <f>COUNTIF(Project_Teams!A:A,A10)</f>
        <v>1</v>
      </c>
      <c r="C10" s="66">
        <f>IFERROR(AVERAGEIF(Project_Teams!A:A,A10,Project_Teams!T:T),0)</f>
        <v>39.703703703703702</v>
      </c>
      <c r="D10" s="65">
        <f>COUNTIFS(Project_Teams!A:A,A10,Project_Teams!V:V,"ناجح")</f>
        <v>0</v>
      </c>
      <c r="E10" s="67">
        <f t="shared" si="0"/>
        <v>0</v>
      </c>
    </row>
    <row r="11" spans="1:5" ht="15" customHeight="1" x14ac:dyDescent="0.3">
      <c r="A11" s="65" t="s">
        <v>281</v>
      </c>
      <c r="B11" s="65">
        <f>COUNTIF(Project_Teams!A:A,A11)</f>
        <v>1</v>
      </c>
      <c r="C11" s="66">
        <f>IFERROR(AVERAGEIF(Project_Teams!A:A,A11,Project_Teams!T:T),0)</f>
        <v>40.851851851851862</v>
      </c>
      <c r="D11" s="65">
        <f>COUNTIFS(Project_Teams!A:A,A11,Project_Teams!V:V,"ناجح")</f>
        <v>0</v>
      </c>
      <c r="E11" s="67">
        <f t="shared" si="0"/>
        <v>0</v>
      </c>
    </row>
    <row r="12" spans="1:5" ht="15" customHeight="1" x14ac:dyDescent="0.3">
      <c r="A12" s="65" t="s">
        <v>294</v>
      </c>
      <c r="B12" s="65">
        <f>COUNTIF(Project_Teams!A:A,A12)</f>
        <v>1</v>
      </c>
      <c r="C12" s="66">
        <f>IFERROR(AVERAGEIF(Project_Teams!A:A,A12,Project_Teams!T:T),0)</f>
        <v>29.629629629629626</v>
      </c>
      <c r="D12" s="65">
        <f>COUNTIFS(Project_Teams!A:A,A12,Project_Teams!V:V,"ناجح")</f>
        <v>0</v>
      </c>
      <c r="E12" s="67">
        <f t="shared" si="0"/>
        <v>0</v>
      </c>
    </row>
    <row r="13" spans="1:5" ht="15" customHeight="1" x14ac:dyDescent="0.3">
      <c r="A13" s="65" t="s">
        <v>318</v>
      </c>
      <c r="B13" s="65">
        <f>COUNTIF(Project_Teams!A:A,A13)</f>
        <v>1</v>
      </c>
      <c r="C13" s="66">
        <f>IFERROR(AVERAGEIF(Project_Teams!A:A,A13,Project_Teams!T:T),0)</f>
        <v>41.296296296296305</v>
      </c>
      <c r="D13" s="65">
        <f>COUNTIFS(Project_Teams!A:A,A13,Project_Teams!V:V,"ناجح")</f>
        <v>0</v>
      </c>
      <c r="E13" s="67">
        <f t="shared" si="0"/>
        <v>0</v>
      </c>
    </row>
    <row r="14" spans="1:5" ht="15" customHeight="1" x14ac:dyDescent="0.3">
      <c r="A14" s="65" t="s">
        <v>347</v>
      </c>
      <c r="B14" s="65">
        <f>COUNTIF(Project_Teams!A:A,A14)</f>
        <v>1</v>
      </c>
      <c r="C14" s="66">
        <f>IFERROR(AVERAGEIF(Project_Teams!A:A,A14,Project_Teams!T:T),0)</f>
        <v>44.259259259259267</v>
      </c>
      <c r="D14" s="65">
        <f>COUNTIFS(Project_Teams!A:A,A14,Project_Teams!V:V,"ناجح")</f>
        <v>0</v>
      </c>
      <c r="E14" s="67">
        <f t="shared" si="0"/>
        <v>0</v>
      </c>
    </row>
    <row r="15" spans="1:5" ht="15" customHeight="1" x14ac:dyDescent="0.3">
      <c r="A15" s="65" t="s">
        <v>372</v>
      </c>
      <c r="B15" s="65">
        <f>COUNTIF(Project_Teams!A:A,A15)</f>
        <v>1</v>
      </c>
      <c r="C15" s="66">
        <f>IFERROR(AVERAGEIF(Project_Teams!A:A,A15,Project_Teams!T:T),0)</f>
        <v>36.851851851851855</v>
      </c>
      <c r="D15" s="65">
        <f>COUNTIFS(Project_Teams!A:A,A15,Project_Teams!V:V,"ناجح")</f>
        <v>0</v>
      </c>
      <c r="E15" s="67">
        <f t="shared" si="0"/>
        <v>0</v>
      </c>
    </row>
    <row r="16" spans="1:5" ht="15" customHeight="1" x14ac:dyDescent="0.3">
      <c r="A16" s="65" t="s">
        <v>400</v>
      </c>
      <c r="B16" s="65">
        <f>COUNTIF(Project_Teams!A:A,A16)</f>
        <v>1</v>
      </c>
      <c r="C16" s="66">
        <f>IFERROR(AVERAGEIF(Project_Teams!A:A,A16,Project_Teams!T:T),0)</f>
        <v>0</v>
      </c>
      <c r="D16" s="65">
        <f>COUNTIFS(Project_Teams!A:A,A16,Project_Teams!V:V,"ناجح")</f>
        <v>0</v>
      </c>
      <c r="E16" s="67">
        <f t="shared" si="0"/>
        <v>0</v>
      </c>
    </row>
    <row r="17" spans="1:5" ht="15" customHeight="1" x14ac:dyDescent="0.3">
      <c r="A17" s="65" t="s">
        <v>422</v>
      </c>
      <c r="B17" s="65">
        <f>COUNTIF(Project_Teams!A:A,A17)</f>
        <v>1</v>
      </c>
      <c r="C17" s="66">
        <f>IFERROR(AVERAGEIF(Project_Teams!A:A,A17,Project_Teams!T:T),0)</f>
        <v>45.592592592592595</v>
      </c>
      <c r="D17" s="65">
        <f>COUNTIFS(Project_Teams!A:A,A17,Project_Teams!V:V,"ناجح")</f>
        <v>0</v>
      </c>
      <c r="E17" s="67">
        <f t="shared" si="0"/>
        <v>0</v>
      </c>
    </row>
    <row r="18" spans="1:5" ht="15" customHeight="1" x14ac:dyDescent="0.3">
      <c r="A18" s="65" t="s">
        <v>449</v>
      </c>
      <c r="B18" s="65">
        <f>COUNTIF(Project_Teams!A:A,A18)</f>
        <v>1</v>
      </c>
      <c r="C18" s="66">
        <f>IFERROR(AVERAGEIF(Project_Teams!A:A,A18,Project_Teams!T:T),0)</f>
        <v>45.148148148148152</v>
      </c>
      <c r="D18" s="65">
        <f>COUNTIFS(Project_Teams!A:A,A18,Project_Teams!V:V,"ناجح")</f>
        <v>0</v>
      </c>
      <c r="E18" s="67">
        <f t="shared" si="0"/>
        <v>0</v>
      </c>
    </row>
    <row r="19" spans="1:5" ht="15" customHeight="1" x14ac:dyDescent="0.3">
      <c r="A19" s="65" t="s">
        <v>478</v>
      </c>
      <c r="B19" s="65">
        <f>COUNTIF(Project_Teams!A:A,A19)</f>
        <v>1</v>
      </c>
      <c r="C19" s="66">
        <f>IFERROR(AVERAGEIF(Project_Teams!A:A,A19,Project_Teams!T:T),0)</f>
        <v>39.222222222222229</v>
      </c>
      <c r="D19" s="65">
        <f>COUNTIFS(Project_Teams!A:A,A19,Project_Teams!V:V,"ناجح")</f>
        <v>0</v>
      </c>
      <c r="E19" s="67">
        <f t="shared" si="0"/>
        <v>0</v>
      </c>
    </row>
    <row r="20" spans="1:5" ht="15" customHeight="1" x14ac:dyDescent="0.3">
      <c r="A20" s="65" t="s">
        <v>509</v>
      </c>
      <c r="B20" s="65">
        <f>COUNTIF(Project_Teams!A:A,A20)</f>
        <v>1</v>
      </c>
      <c r="C20" s="66">
        <f>IFERROR(AVERAGEIF(Project_Teams!A:A,A20,Project_Teams!T:T),0)</f>
        <v>44.703703703703709</v>
      </c>
      <c r="D20" s="65">
        <f>COUNTIFS(Project_Teams!A:A,A20,Project_Teams!V:V,"ناجح")</f>
        <v>0</v>
      </c>
      <c r="E20" s="67">
        <f t="shared" si="0"/>
        <v>0</v>
      </c>
    </row>
    <row r="21" spans="1:5" ht="15" customHeight="1" x14ac:dyDescent="0.3">
      <c r="A21" s="65" t="s">
        <v>538</v>
      </c>
      <c r="B21" s="65">
        <f>COUNTIF(Project_Teams!A:A,A21)</f>
        <v>1</v>
      </c>
      <c r="C21" s="66">
        <f>IFERROR(AVERAGEIF(Project_Teams!A:A,A21,Project_Teams!T:T),0)</f>
        <v>0</v>
      </c>
      <c r="D21" s="65">
        <f>COUNTIFS(Project_Teams!A:A,A21,Project_Teams!V:V,"ناجح")</f>
        <v>0</v>
      </c>
      <c r="E21" s="67">
        <f t="shared" si="0"/>
        <v>0</v>
      </c>
    </row>
    <row r="22" spans="1:5" ht="15" customHeight="1" x14ac:dyDescent="0.3">
      <c r="A22" s="65" t="s">
        <v>565</v>
      </c>
      <c r="B22" s="65">
        <f>COUNTIF(Project_Teams!A:A,A22)</f>
        <v>1</v>
      </c>
      <c r="C22" s="66">
        <f>IFERROR(AVERAGEIF(Project_Teams!A:A,A22,Project_Teams!T:T),0)</f>
        <v>36.703703703703709</v>
      </c>
      <c r="D22" s="65">
        <f>COUNTIFS(Project_Teams!A:A,A22,Project_Teams!V:V,"ناجح")</f>
        <v>0</v>
      </c>
      <c r="E22" s="67">
        <f t="shared" si="0"/>
        <v>0</v>
      </c>
    </row>
    <row r="23" spans="1:5" ht="15" customHeight="1" x14ac:dyDescent="0.3">
      <c r="A23" s="65" t="s">
        <v>589</v>
      </c>
      <c r="B23" s="65">
        <f>COUNTIF(Project_Teams!A:A,A23)</f>
        <v>1</v>
      </c>
      <c r="C23" s="66">
        <f>IFERROR(AVERAGEIF(Project_Teams!A:A,A23,Project_Teams!T:T),0)</f>
        <v>31.111111111111107</v>
      </c>
      <c r="D23" s="65">
        <f>COUNTIFS(Project_Teams!A:A,A23,Project_Teams!V:V,"ناجح")</f>
        <v>0</v>
      </c>
      <c r="E23" s="67">
        <f t="shared" si="0"/>
        <v>0</v>
      </c>
    </row>
    <row r="24" spans="1:5" ht="15" customHeight="1" x14ac:dyDescent="0.3">
      <c r="A24" s="65" t="s">
        <v>618</v>
      </c>
      <c r="B24" s="65">
        <f>COUNTIF(Project_Teams!A:A,A24)</f>
        <v>1</v>
      </c>
      <c r="C24" s="66">
        <f>IFERROR(AVERAGEIF(Project_Teams!A:A,A24,Project_Teams!T:T),0)</f>
        <v>34.81481481481481</v>
      </c>
      <c r="D24" s="65">
        <f>COUNTIFS(Project_Teams!A:A,A24,Project_Teams!V:V,"ناجح")</f>
        <v>0</v>
      </c>
      <c r="E24" s="67">
        <f t="shared" si="0"/>
        <v>0</v>
      </c>
    </row>
    <row r="25" spans="1:5" ht="15" customHeight="1" x14ac:dyDescent="0.3">
      <c r="A25" s="65" t="s">
        <v>640</v>
      </c>
      <c r="B25" s="65">
        <f>COUNTIF(Project_Teams!A:A,A25)</f>
        <v>1</v>
      </c>
      <c r="C25" s="66">
        <f>IFERROR(AVERAGEIF(Project_Teams!A:A,A25,Project_Teams!T:T),0)</f>
        <v>44.925925925925931</v>
      </c>
      <c r="D25" s="65">
        <f>COUNTIFS(Project_Teams!A:A,A25,Project_Teams!V:V,"ناجح")</f>
        <v>0</v>
      </c>
      <c r="E25" s="67">
        <f t="shared" si="0"/>
        <v>0</v>
      </c>
    </row>
    <row r="26" spans="1:5" ht="15" customHeight="1" x14ac:dyDescent="0.3">
      <c r="A26" s="65" t="s">
        <v>670</v>
      </c>
      <c r="B26" s="65">
        <f>COUNTIF(Project_Teams!A:A,A26)</f>
        <v>1</v>
      </c>
      <c r="C26" s="66">
        <f>IFERROR(AVERAGEIF(Project_Teams!A:A,A26,Project_Teams!T:T),0)</f>
        <v>40.888888888888886</v>
      </c>
      <c r="D26" s="65">
        <f>COUNTIFS(Project_Teams!A:A,A26,Project_Teams!V:V,"ناجح")</f>
        <v>0</v>
      </c>
      <c r="E26" s="67">
        <f t="shared" si="0"/>
        <v>0</v>
      </c>
    </row>
    <row r="27" spans="1:5" ht="15" customHeight="1" x14ac:dyDescent="0.3">
      <c r="A27" s="65" t="s">
        <v>690</v>
      </c>
      <c r="B27" s="65">
        <f>COUNTIF(Project_Teams!A:A,A27)</f>
        <v>1</v>
      </c>
      <c r="C27" s="66">
        <f>IFERROR(AVERAGEIF(Project_Teams!A:A,A27,Project_Teams!T:T),0)</f>
        <v>37.592592592592595</v>
      </c>
      <c r="D27" s="65">
        <f>COUNTIFS(Project_Teams!A:A,A27,Project_Teams!V:V,"ناجح")</f>
        <v>0</v>
      </c>
      <c r="E27" s="67">
        <f t="shared" si="0"/>
        <v>0</v>
      </c>
    </row>
    <row r="28" spans="1:5" ht="15" customHeight="1" x14ac:dyDescent="0.3">
      <c r="A28" s="65" t="s">
        <v>711</v>
      </c>
      <c r="B28" s="65">
        <f>COUNTIF(Project_Teams!A:A,A28)</f>
        <v>1</v>
      </c>
      <c r="C28" s="66">
        <f>IFERROR(AVERAGEIF(Project_Teams!A:A,A28,Project_Teams!T:T),0)</f>
        <v>42.925925925925924</v>
      </c>
      <c r="D28" s="65">
        <f>COUNTIFS(Project_Teams!A:A,A28,Project_Teams!V:V,"ناجح")</f>
        <v>0</v>
      </c>
      <c r="E28" s="67">
        <f t="shared" si="0"/>
        <v>0</v>
      </c>
    </row>
    <row r="29" spans="1:5" ht="15" customHeight="1" x14ac:dyDescent="0.3">
      <c r="A29" s="65" t="s">
        <v>733</v>
      </c>
      <c r="B29" s="65">
        <f>COUNTIF(Project_Teams!A:A,A29)</f>
        <v>1</v>
      </c>
      <c r="C29" s="66">
        <f>IFERROR(AVERAGEIF(Project_Teams!A:A,A29,Project_Teams!T:T),0)</f>
        <v>39.814814814814824</v>
      </c>
      <c r="D29" s="65">
        <f>COUNTIFS(Project_Teams!A:A,A29,Project_Teams!V:V,"ناجح")</f>
        <v>0</v>
      </c>
      <c r="E29" s="67">
        <f t="shared" si="0"/>
        <v>0</v>
      </c>
    </row>
    <row r="30" spans="1:5" ht="15" customHeight="1" x14ac:dyDescent="0.3">
      <c r="A30" s="65" t="s">
        <v>744</v>
      </c>
      <c r="B30" s="65">
        <f>COUNTIF(Project_Teams!A:A,A30)</f>
        <v>1</v>
      </c>
      <c r="C30" s="66">
        <f>IFERROR(AVERAGEIF(Project_Teams!A:A,A30,Project_Teams!T:T),0)</f>
        <v>26.296296296296294</v>
      </c>
      <c r="D30" s="65">
        <f>COUNTIFS(Project_Teams!A:A,A30,Project_Teams!V:V,"ناجح")</f>
        <v>0</v>
      </c>
      <c r="E30" s="67">
        <f t="shared" si="0"/>
        <v>0</v>
      </c>
    </row>
    <row r="31" spans="1:5" ht="15" customHeight="1" x14ac:dyDescent="0.3">
      <c r="A31" s="65" t="s">
        <v>756</v>
      </c>
      <c r="B31" s="65">
        <f>COUNTIF(Project_Teams!A:A,A31)</f>
        <v>1</v>
      </c>
      <c r="C31" s="66">
        <f>IFERROR(AVERAGEIF(Project_Teams!A:A,A31,Project_Teams!T:T),0)</f>
        <v>30.370370370370367</v>
      </c>
      <c r="D31" s="65">
        <f>COUNTIFS(Project_Teams!A:A,A31,Project_Teams!V:V,"ناجح")</f>
        <v>0</v>
      </c>
      <c r="E31" s="67">
        <f t="shared" si="0"/>
        <v>0</v>
      </c>
    </row>
    <row r="32" spans="1:5" ht="15" customHeight="1" x14ac:dyDescent="0.3">
      <c r="A32" s="65" t="s">
        <v>769</v>
      </c>
      <c r="B32" s="65">
        <f>COUNTIF(Project_Teams!A:A,A32)</f>
        <v>1</v>
      </c>
      <c r="C32" s="66">
        <f>IFERROR(AVERAGEIF(Project_Teams!A:A,A32,Project_Teams!T:T),0)</f>
        <v>45.296296296296305</v>
      </c>
      <c r="D32" s="65">
        <f>COUNTIFS(Project_Teams!A:A,A32,Project_Teams!V:V,"ناجح")</f>
        <v>0</v>
      </c>
      <c r="E32" s="67">
        <f t="shared" si="0"/>
        <v>0</v>
      </c>
    </row>
    <row r="33" spans="1:5" ht="15" customHeight="1" x14ac:dyDescent="0.3">
      <c r="A33" s="65" t="s">
        <v>775</v>
      </c>
      <c r="B33" s="65">
        <f>COUNTIF(Project_Teams!A:A,A33)</f>
        <v>1</v>
      </c>
      <c r="C33" s="66">
        <f>IFERROR(AVERAGEIF(Project_Teams!A:A,A33,Project_Teams!T:T),0)</f>
        <v>31.703703703703699</v>
      </c>
      <c r="D33" s="65">
        <f>COUNTIFS(Project_Teams!A:A,A33,Project_Teams!V:V,"ناجح")</f>
        <v>0</v>
      </c>
      <c r="E33" s="67">
        <f t="shared" si="0"/>
        <v>0</v>
      </c>
    </row>
    <row r="34" spans="1:5" ht="15" customHeight="1" x14ac:dyDescent="0.3">
      <c r="A34" s="65" t="s">
        <v>785</v>
      </c>
      <c r="B34" s="65">
        <f>COUNTIF(Project_Teams!A:A,A34)</f>
        <v>1</v>
      </c>
      <c r="C34" s="66">
        <f>IFERROR(AVERAGEIF(Project_Teams!A:A,A34,Project_Teams!T:T),0)</f>
        <v>36.111111111111114</v>
      </c>
      <c r="D34" s="65">
        <f>COUNTIFS(Project_Teams!A:A,A34,Project_Teams!V:V,"ناجح")</f>
        <v>0</v>
      </c>
      <c r="E34" s="67">
        <f t="shared" si="0"/>
        <v>0</v>
      </c>
    </row>
    <row r="35" spans="1:5" ht="15" customHeight="1" x14ac:dyDescent="0.3">
      <c r="A35" s="65" t="s">
        <v>795</v>
      </c>
      <c r="B35" s="65">
        <f>COUNTIF(Project_Teams!A:A,A35)</f>
        <v>1</v>
      </c>
      <c r="C35" s="66">
        <f>IFERROR(AVERAGEIF(Project_Teams!A:A,A35,Project_Teams!T:T),0)</f>
        <v>34.074074074074069</v>
      </c>
      <c r="D35" s="65">
        <f>COUNTIFS(Project_Teams!A:A,A35,Project_Teams!V:V,"ناجح")</f>
        <v>0</v>
      </c>
      <c r="E35" s="67">
        <f t="shared" si="0"/>
        <v>0</v>
      </c>
    </row>
    <row r="36" spans="1:5" ht="15.7" customHeight="1" x14ac:dyDescent="0.3">
      <c r="A36" s="2"/>
      <c r="B36" s="2"/>
      <c r="C36" s="2"/>
      <c r="D36" s="2"/>
      <c r="E36" s="2"/>
    </row>
    <row r="37" spans="1:5" ht="15.7" customHeight="1" x14ac:dyDescent="0.3">
      <c r="A37" s="2"/>
      <c r="B37" s="2"/>
      <c r="C37" s="2"/>
      <c r="D37" s="2"/>
      <c r="E37" s="2"/>
    </row>
    <row r="38" spans="1:5" ht="15.7" customHeight="1" x14ac:dyDescent="0.3">
      <c r="A38" s="2"/>
      <c r="B38" s="2"/>
      <c r="C38" s="2"/>
      <c r="D38" s="2"/>
      <c r="E38" s="2"/>
    </row>
    <row r="39" spans="1:5" ht="15.7" customHeight="1" x14ac:dyDescent="0.3">
      <c r="A39" s="2"/>
      <c r="B39" s="2"/>
      <c r="C39" s="2"/>
      <c r="D39" s="2"/>
      <c r="E39" s="2"/>
    </row>
    <row r="40" spans="1:5" ht="15.7" customHeight="1" x14ac:dyDescent="0.3">
      <c r="A40" s="2"/>
      <c r="B40" s="2"/>
      <c r="C40" s="2"/>
      <c r="D40" s="2"/>
      <c r="E40" s="2"/>
    </row>
    <row r="41" spans="1:5" ht="15.7" customHeight="1" x14ac:dyDescent="0.3">
      <c r="A41" s="2"/>
      <c r="B41" s="2"/>
      <c r="C41" s="2"/>
      <c r="D41" s="2"/>
      <c r="E41" s="2"/>
    </row>
    <row r="42" spans="1:5" ht="15.7" customHeight="1" x14ac:dyDescent="0.3">
      <c r="A42" s="2"/>
      <c r="B42" s="2"/>
      <c r="C42" s="2"/>
      <c r="D42" s="2"/>
      <c r="E42" s="2"/>
    </row>
    <row r="43" spans="1:5" ht="15.7" customHeight="1" x14ac:dyDescent="0.3">
      <c r="A43" s="2"/>
      <c r="B43" s="2"/>
      <c r="C43" s="2"/>
      <c r="D43" s="2"/>
      <c r="E43" s="2"/>
    </row>
    <row r="44" spans="1:5" ht="15.7" customHeight="1" x14ac:dyDescent="0.3">
      <c r="A44" s="2"/>
      <c r="B44" s="2"/>
      <c r="C44" s="2"/>
      <c r="D44" s="2"/>
      <c r="E44" s="2"/>
    </row>
    <row r="45" spans="1:5" ht="15.7" customHeight="1" x14ac:dyDescent="0.3">
      <c r="A45" s="2"/>
      <c r="B45" s="2"/>
      <c r="C45" s="2"/>
      <c r="D45" s="2"/>
      <c r="E45" s="2"/>
    </row>
    <row r="46" spans="1:5" ht="15.7" customHeight="1" x14ac:dyDescent="0.3">
      <c r="A46" s="2"/>
      <c r="B46" s="2"/>
      <c r="C46" s="2"/>
      <c r="D46" s="2"/>
      <c r="E46" s="2"/>
    </row>
    <row r="47" spans="1:5" ht="15.7" customHeight="1" x14ac:dyDescent="0.3">
      <c r="A47" s="2"/>
      <c r="B47" s="2"/>
      <c r="C47" s="2"/>
      <c r="D47" s="2"/>
      <c r="E47" s="2"/>
    </row>
    <row r="48" spans="1:5" ht="15.7" customHeight="1" x14ac:dyDescent="0.3">
      <c r="A48" s="2"/>
      <c r="B48" s="2"/>
      <c r="C48" s="2"/>
      <c r="D48" s="2"/>
      <c r="E48" s="2"/>
    </row>
    <row r="49" spans="1:5" ht="15.7" customHeight="1" x14ac:dyDescent="0.3">
      <c r="A49" s="2"/>
      <c r="B49" s="2"/>
      <c r="C49" s="2"/>
      <c r="D49" s="2"/>
      <c r="E49" s="2"/>
    </row>
    <row r="50" spans="1:5" ht="15.7" customHeight="1" x14ac:dyDescent="0.3">
      <c r="A50" s="2"/>
      <c r="B50" s="2"/>
      <c r="C50" s="2"/>
      <c r="D50" s="2"/>
      <c r="E50" s="2"/>
    </row>
    <row r="51" spans="1:5" ht="15.7" customHeight="1" x14ac:dyDescent="0.3">
      <c r="A51" s="2"/>
      <c r="B51" s="2"/>
      <c r="C51" s="2"/>
      <c r="D51" s="2"/>
      <c r="E51" s="2"/>
    </row>
    <row r="52" spans="1:5" ht="15.7" customHeight="1" x14ac:dyDescent="0.3">
      <c r="A52" s="2"/>
      <c r="B52" s="2"/>
      <c r="C52" s="2"/>
      <c r="D52" s="2"/>
      <c r="E52" s="2"/>
    </row>
    <row r="53" spans="1:5" ht="15.7" customHeight="1" x14ac:dyDescent="0.3">
      <c r="A53" s="2"/>
      <c r="B53" s="2"/>
      <c r="C53" s="2"/>
      <c r="D53" s="2"/>
      <c r="E53" s="2"/>
    </row>
    <row r="54" spans="1:5" ht="15.7" customHeight="1" x14ac:dyDescent="0.3">
      <c r="A54" s="2"/>
      <c r="B54" s="2"/>
      <c r="C54" s="2"/>
      <c r="D54" s="2"/>
      <c r="E54" s="2"/>
    </row>
    <row r="55" spans="1:5" ht="15.7" customHeight="1" x14ac:dyDescent="0.3">
      <c r="A55" s="2"/>
      <c r="B55" s="2"/>
      <c r="C55" s="2"/>
      <c r="D55" s="2"/>
      <c r="E55" s="2"/>
    </row>
    <row r="56" spans="1:5" ht="15.7" customHeight="1" x14ac:dyDescent="0.3">
      <c r="A56" s="2"/>
      <c r="B56" s="2"/>
      <c r="C56" s="2"/>
      <c r="D56" s="2"/>
      <c r="E56" s="2"/>
    </row>
    <row r="57" spans="1:5" ht="15.7" customHeight="1" x14ac:dyDescent="0.3">
      <c r="A57" s="2"/>
      <c r="B57" s="2"/>
      <c r="C57" s="2"/>
      <c r="D57" s="2"/>
      <c r="E57" s="2"/>
    </row>
    <row r="58" spans="1:5" ht="15.7" customHeight="1" x14ac:dyDescent="0.3">
      <c r="A58" s="2"/>
      <c r="B58" s="2"/>
      <c r="C58" s="2"/>
      <c r="D58" s="2"/>
      <c r="E58" s="2"/>
    </row>
    <row r="59" spans="1:5" ht="15.7" customHeight="1" x14ac:dyDescent="0.3">
      <c r="A59" s="2"/>
      <c r="B59" s="2"/>
      <c r="C59" s="2"/>
      <c r="D59" s="2"/>
      <c r="E59" s="2"/>
    </row>
    <row r="60" spans="1:5" ht="15.7" customHeight="1" x14ac:dyDescent="0.3">
      <c r="A60" s="2"/>
      <c r="B60" s="2"/>
      <c r="C60" s="2"/>
      <c r="D60" s="2"/>
      <c r="E60" s="2"/>
    </row>
    <row r="61" spans="1:5" ht="15.7" customHeight="1" x14ac:dyDescent="0.3">
      <c r="A61" s="2"/>
      <c r="B61" s="2"/>
      <c r="C61" s="2"/>
      <c r="D61" s="2"/>
      <c r="E61" s="2"/>
    </row>
    <row r="62" spans="1:5" ht="15.7" customHeight="1" x14ac:dyDescent="0.3">
      <c r="A62" s="2"/>
      <c r="B62" s="2"/>
      <c r="C62" s="2"/>
      <c r="D62" s="2"/>
      <c r="E62" s="2"/>
    </row>
    <row r="63" spans="1:5" ht="15.7" customHeight="1" x14ac:dyDescent="0.3">
      <c r="A63" s="2"/>
      <c r="B63" s="2"/>
      <c r="C63" s="2"/>
      <c r="D63" s="2"/>
      <c r="E63" s="2"/>
    </row>
    <row r="64" spans="1:5" ht="15.7" customHeight="1" x14ac:dyDescent="0.3">
      <c r="A64" s="2"/>
      <c r="B64" s="2"/>
      <c r="C64" s="2"/>
      <c r="D64" s="2"/>
      <c r="E64" s="2"/>
    </row>
    <row r="65" spans="1:5" ht="15.7" customHeight="1" x14ac:dyDescent="0.3">
      <c r="A65" s="2"/>
      <c r="B65" s="2"/>
      <c r="C65" s="2"/>
      <c r="D65" s="2"/>
      <c r="E65" s="2"/>
    </row>
    <row r="66" spans="1:5" ht="15.7" customHeight="1" x14ac:dyDescent="0.3">
      <c r="A66" s="2"/>
      <c r="B66" s="2"/>
      <c r="C66" s="2"/>
      <c r="D66" s="2"/>
      <c r="E66" s="2"/>
    </row>
    <row r="67" spans="1:5" ht="15.7" customHeight="1" x14ac:dyDescent="0.3">
      <c r="A67" s="2"/>
      <c r="B67" s="2"/>
      <c r="C67" s="2"/>
      <c r="D67" s="2"/>
      <c r="E67" s="2"/>
    </row>
    <row r="68" spans="1:5" ht="15.7" customHeight="1" x14ac:dyDescent="0.3">
      <c r="A68" s="2"/>
      <c r="B68" s="2"/>
      <c r="C68" s="2"/>
      <c r="D68" s="2"/>
      <c r="E68" s="2"/>
    </row>
    <row r="69" spans="1:5" ht="15.7" customHeight="1" x14ac:dyDescent="0.3">
      <c r="A69" s="2"/>
      <c r="B69" s="2"/>
      <c r="C69" s="2"/>
      <c r="D69" s="2"/>
      <c r="E69" s="2"/>
    </row>
    <row r="70" spans="1:5" ht="15.7" customHeight="1" x14ac:dyDescent="0.3">
      <c r="A70" s="2"/>
      <c r="B70" s="2"/>
      <c r="C70" s="2"/>
      <c r="D70" s="2"/>
      <c r="E70" s="2"/>
    </row>
    <row r="71" spans="1:5" ht="15.7" customHeight="1" x14ac:dyDescent="0.3">
      <c r="A71" s="2"/>
      <c r="B71" s="2"/>
      <c r="C71" s="2"/>
      <c r="D71" s="2"/>
      <c r="E71" s="2"/>
    </row>
    <row r="72" spans="1:5" ht="15.7" customHeight="1" x14ac:dyDescent="0.3">
      <c r="A72" s="2"/>
      <c r="B72" s="2"/>
      <c r="C72" s="2"/>
      <c r="D72" s="2"/>
      <c r="E72" s="2"/>
    </row>
    <row r="73" spans="1:5" ht="15.7" customHeight="1" x14ac:dyDescent="0.3">
      <c r="A73" s="2"/>
      <c r="B73" s="2"/>
      <c r="C73" s="2"/>
      <c r="D73" s="2"/>
      <c r="E73" s="2"/>
    </row>
    <row r="74" spans="1:5" ht="15.7" customHeight="1" x14ac:dyDescent="0.3">
      <c r="A74" s="2"/>
      <c r="B74" s="2"/>
      <c r="C74" s="2"/>
      <c r="D74" s="2"/>
      <c r="E74" s="2"/>
    </row>
    <row r="75" spans="1:5" ht="15.7" customHeight="1" x14ac:dyDescent="0.3">
      <c r="A75" s="2"/>
      <c r="B75" s="2"/>
      <c r="C75" s="2"/>
      <c r="D75" s="2"/>
      <c r="E75" s="2"/>
    </row>
    <row r="76" spans="1:5" ht="15.7" customHeight="1" x14ac:dyDescent="0.3">
      <c r="A76" s="2"/>
      <c r="B76" s="2"/>
      <c r="C76" s="2"/>
      <c r="D76" s="2"/>
      <c r="E76" s="2"/>
    </row>
    <row r="77" spans="1:5" ht="15.7" customHeight="1" x14ac:dyDescent="0.3">
      <c r="A77" s="2"/>
      <c r="B77" s="2"/>
      <c r="C77" s="2"/>
      <c r="D77" s="2"/>
      <c r="E77" s="2"/>
    </row>
    <row r="78" spans="1:5" ht="15.7" customHeight="1" x14ac:dyDescent="0.3">
      <c r="A78" s="2"/>
      <c r="B78" s="2"/>
      <c r="C78" s="2"/>
      <c r="D78" s="2"/>
      <c r="E78" s="2"/>
    </row>
    <row r="79" spans="1:5" ht="15.7" customHeight="1" x14ac:dyDescent="0.3">
      <c r="A79" s="2"/>
      <c r="B79" s="2"/>
      <c r="C79" s="2"/>
      <c r="D79" s="2"/>
      <c r="E79" s="2"/>
    </row>
    <row r="80" spans="1:5" ht="15.7" customHeight="1" x14ac:dyDescent="0.3">
      <c r="A80" s="2"/>
      <c r="B80" s="2"/>
      <c r="C80" s="2"/>
      <c r="D80" s="2"/>
      <c r="E80" s="2"/>
    </row>
    <row r="81" spans="1:5" ht="15.7" customHeight="1" x14ac:dyDescent="0.3">
      <c r="A81" s="2"/>
      <c r="B81" s="2"/>
      <c r="C81" s="2"/>
      <c r="D81" s="2"/>
      <c r="E81" s="2"/>
    </row>
    <row r="82" spans="1:5" ht="15.7" customHeight="1" x14ac:dyDescent="0.3">
      <c r="A82" s="2"/>
      <c r="B82" s="2"/>
      <c r="C82" s="2"/>
      <c r="D82" s="2"/>
      <c r="E82" s="2"/>
    </row>
    <row r="83" spans="1:5" ht="15.7" customHeight="1" x14ac:dyDescent="0.3">
      <c r="A83" s="2"/>
      <c r="B83" s="2"/>
      <c r="C83" s="2"/>
      <c r="D83" s="2"/>
      <c r="E83" s="2"/>
    </row>
    <row r="84" spans="1:5" ht="15.7" customHeight="1" x14ac:dyDescent="0.3">
      <c r="A84" s="2"/>
      <c r="B84" s="2"/>
      <c r="C84" s="2"/>
      <c r="D84" s="2"/>
      <c r="E84" s="2"/>
    </row>
    <row r="85" spans="1:5" ht="15.7" customHeight="1" x14ac:dyDescent="0.3">
      <c r="A85" s="2"/>
      <c r="B85" s="2"/>
      <c r="C85" s="2"/>
      <c r="D85" s="2"/>
      <c r="E85" s="2"/>
    </row>
    <row r="86" spans="1:5" ht="15.7" customHeight="1" x14ac:dyDescent="0.3">
      <c r="A86" s="2"/>
      <c r="B86" s="2"/>
      <c r="C86" s="2"/>
      <c r="D86" s="2"/>
      <c r="E86" s="2"/>
    </row>
    <row r="87" spans="1:5" ht="15.7" customHeight="1" x14ac:dyDescent="0.3">
      <c r="A87" s="2"/>
      <c r="B87" s="2"/>
      <c r="C87" s="2"/>
      <c r="D87" s="2"/>
      <c r="E87" s="2"/>
    </row>
    <row r="88" spans="1:5" ht="15.7" customHeight="1" x14ac:dyDescent="0.3">
      <c r="A88" s="2"/>
      <c r="B88" s="2"/>
      <c r="C88" s="2"/>
      <c r="D88" s="2"/>
      <c r="E88" s="2"/>
    </row>
    <row r="89" spans="1:5" ht="15.7" customHeight="1" x14ac:dyDescent="0.3">
      <c r="A89" s="2"/>
      <c r="B89" s="2"/>
      <c r="C89" s="2"/>
      <c r="D89" s="2"/>
      <c r="E89" s="2"/>
    </row>
    <row r="90" spans="1:5" ht="15.7" customHeight="1" x14ac:dyDescent="0.3">
      <c r="A90" s="2"/>
      <c r="B90" s="2"/>
      <c r="C90" s="2"/>
      <c r="D90" s="2"/>
      <c r="E90" s="2"/>
    </row>
    <row r="91" spans="1:5" ht="15.7" customHeight="1" x14ac:dyDescent="0.3">
      <c r="A91" s="2"/>
      <c r="B91" s="2"/>
      <c r="C91" s="2"/>
      <c r="D91" s="2"/>
      <c r="E91" s="2"/>
    </row>
    <row r="92" spans="1:5" ht="15.7" customHeight="1" x14ac:dyDescent="0.3">
      <c r="A92" s="2"/>
      <c r="B92" s="2"/>
      <c r="C92" s="2"/>
      <c r="D92" s="2"/>
      <c r="E92" s="2"/>
    </row>
    <row r="93" spans="1:5" ht="15.7" customHeight="1" x14ac:dyDescent="0.3">
      <c r="A93" s="2"/>
      <c r="B93" s="2"/>
      <c r="C93" s="2"/>
      <c r="D93" s="2"/>
      <c r="E93" s="2"/>
    </row>
    <row r="94" spans="1:5" ht="15.7" customHeight="1" x14ac:dyDescent="0.3">
      <c r="A94" s="2"/>
      <c r="B94" s="2"/>
      <c r="C94" s="2"/>
      <c r="D94" s="2"/>
      <c r="E94" s="2"/>
    </row>
    <row r="95" spans="1:5" ht="15.7" customHeight="1" x14ac:dyDescent="0.3">
      <c r="A95" s="2"/>
      <c r="B95" s="2"/>
      <c r="C95" s="2"/>
      <c r="D95" s="2"/>
      <c r="E95" s="2"/>
    </row>
    <row r="96" spans="1:5" ht="15.7" customHeight="1" x14ac:dyDescent="0.3">
      <c r="A96" s="2"/>
      <c r="B96" s="2"/>
      <c r="C96" s="2"/>
      <c r="D96" s="2"/>
      <c r="E96" s="2"/>
    </row>
    <row r="97" spans="1:5" ht="15.7" customHeight="1" x14ac:dyDescent="0.3">
      <c r="A97" s="2"/>
      <c r="B97" s="2"/>
      <c r="C97" s="2"/>
      <c r="D97" s="2"/>
      <c r="E97" s="2"/>
    </row>
    <row r="98" spans="1:5" ht="15.7" customHeight="1" x14ac:dyDescent="0.3">
      <c r="A98" s="2"/>
      <c r="B98" s="2"/>
      <c r="C98" s="2"/>
      <c r="D98" s="2"/>
      <c r="E98" s="2"/>
    </row>
    <row r="99" spans="1:5" ht="15.7" customHeight="1" x14ac:dyDescent="0.3">
      <c r="A99" s="2"/>
      <c r="B99" s="2"/>
      <c r="C99" s="2"/>
      <c r="D99" s="2"/>
      <c r="E99" s="2"/>
    </row>
    <row r="100" spans="1:5" ht="15.7" customHeight="1" x14ac:dyDescent="0.3">
      <c r="A100" s="2"/>
      <c r="B100" s="2"/>
      <c r="C100" s="2"/>
      <c r="D100" s="2"/>
      <c r="E100" s="2"/>
    </row>
    <row r="101" spans="1:5" ht="15.7" customHeight="1" x14ac:dyDescent="0.3">
      <c r="A101" s="2"/>
      <c r="B101" s="2"/>
      <c r="C101" s="2"/>
      <c r="D101" s="2"/>
      <c r="E101" s="2"/>
    </row>
    <row r="102" spans="1:5" ht="15.7" customHeight="1" x14ac:dyDescent="0.3">
      <c r="A102" s="2"/>
      <c r="B102" s="2"/>
      <c r="C102" s="2"/>
      <c r="D102" s="2"/>
      <c r="E102" s="2"/>
    </row>
    <row r="103" spans="1:5" ht="15.7" customHeight="1" x14ac:dyDescent="0.3">
      <c r="A103" s="2"/>
      <c r="B103" s="2"/>
      <c r="C103" s="2"/>
      <c r="D103" s="2"/>
      <c r="E103" s="2"/>
    </row>
    <row r="104" spans="1:5" ht="15.7" customHeight="1" x14ac:dyDescent="0.3">
      <c r="A104" s="2"/>
      <c r="B104" s="2"/>
      <c r="C104" s="2"/>
      <c r="D104" s="2"/>
      <c r="E104" s="2"/>
    </row>
    <row r="105" spans="1:5" ht="15.7" customHeight="1" x14ac:dyDescent="0.3">
      <c r="A105" s="2"/>
      <c r="B105" s="2"/>
      <c r="C105" s="2"/>
      <c r="D105" s="2"/>
      <c r="E105" s="2"/>
    </row>
    <row r="106" spans="1:5" ht="15.7" customHeight="1" x14ac:dyDescent="0.3">
      <c r="A106" s="2"/>
      <c r="B106" s="2"/>
      <c r="C106" s="2"/>
      <c r="D106" s="2"/>
      <c r="E106" s="2"/>
    </row>
    <row r="107" spans="1:5" ht="15.7" customHeight="1" x14ac:dyDescent="0.3">
      <c r="A107" s="2"/>
      <c r="B107" s="2"/>
      <c r="C107" s="2"/>
      <c r="D107" s="2"/>
      <c r="E107" s="2"/>
    </row>
    <row r="108" spans="1:5" ht="15.7" customHeight="1" x14ac:dyDescent="0.3">
      <c r="A108" s="2"/>
      <c r="B108" s="2"/>
      <c r="C108" s="2"/>
      <c r="D108" s="2"/>
      <c r="E108" s="2"/>
    </row>
    <row r="109" spans="1:5" ht="15.7" customHeight="1" x14ac:dyDescent="0.3">
      <c r="A109" s="2"/>
      <c r="B109" s="2"/>
      <c r="C109" s="2"/>
      <c r="D109" s="2"/>
      <c r="E109" s="2"/>
    </row>
    <row r="110" spans="1:5" ht="15.7" customHeight="1" x14ac:dyDescent="0.3">
      <c r="A110" s="2"/>
      <c r="B110" s="2"/>
      <c r="C110" s="2"/>
      <c r="D110" s="2"/>
      <c r="E110" s="2"/>
    </row>
    <row r="111" spans="1:5" ht="15.7" customHeight="1" x14ac:dyDescent="0.3">
      <c r="A111" s="2"/>
      <c r="B111" s="2"/>
      <c r="C111" s="2"/>
      <c r="D111" s="2"/>
      <c r="E111" s="2"/>
    </row>
    <row r="112" spans="1:5" ht="15.7" customHeight="1" x14ac:dyDescent="0.3">
      <c r="A112" s="2"/>
      <c r="B112" s="2"/>
      <c r="C112" s="2"/>
      <c r="D112" s="2"/>
      <c r="E112" s="2"/>
    </row>
    <row r="113" spans="1:5" ht="15.7" customHeight="1" x14ac:dyDescent="0.3">
      <c r="A113" s="2"/>
      <c r="B113" s="2"/>
      <c r="C113" s="2"/>
      <c r="D113" s="2"/>
      <c r="E113" s="2"/>
    </row>
    <row r="114" spans="1:5" ht="15.7" customHeight="1" x14ac:dyDescent="0.3">
      <c r="A114" s="2"/>
      <c r="B114" s="2"/>
      <c r="C114" s="2"/>
      <c r="D114" s="2"/>
      <c r="E114" s="2"/>
    </row>
    <row r="115" spans="1:5" ht="15.7" customHeight="1" x14ac:dyDescent="0.3">
      <c r="A115" s="2"/>
      <c r="B115" s="2"/>
      <c r="C115" s="2"/>
      <c r="D115" s="2"/>
      <c r="E115" s="2"/>
    </row>
    <row r="116" spans="1:5" ht="15.7" customHeight="1" x14ac:dyDescent="0.3">
      <c r="A116" s="2"/>
      <c r="B116" s="2"/>
      <c r="C116" s="2"/>
      <c r="D116" s="2"/>
      <c r="E116" s="2"/>
    </row>
    <row r="117" spans="1:5" ht="15.7" customHeight="1" x14ac:dyDescent="0.3">
      <c r="A117" s="2"/>
      <c r="B117" s="2"/>
      <c r="C117" s="2"/>
      <c r="D117" s="2"/>
      <c r="E117" s="2"/>
    </row>
    <row r="118" spans="1:5" ht="15.7" customHeight="1" x14ac:dyDescent="0.3">
      <c r="A118" s="2"/>
      <c r="B118" s="2"/>
      <c r="C118" s="2"/>
      <c r="D118" s="2"/>
      <c r="E118" s="2"/>
    </row>
    <row r="119" spans="1:5" ht="15.7" customHeight="1" x14ac:dyDescent="0.3">
      <c r="A119" s="2"/>
      <c r="B119" s="2"/>
      <c r="C119" s="2"/>
      <c r="D119" s="2"/>
      <c r="E119" s="2"/>
    </row>
    <row r="120" spans="1:5" ht="15.7" customHeight="1" x14ac:dyDescent="0.3">
      <c r="A120" s="2"/>
      <c r="B120" s="2"/>
      <c r="C120" s="2"/>
      <c r="D120" s="2"/>
      <c r="E120" s="2"/>
    </row>
    <row r="121" spans="1:5" ht="15.7" customHeight="1" x14ac:dyDescent="0.3">
      <c r="A121" s="2"/>
      <c r="B121" s="2"/>
      <c r="C121" s="2"/>
      <c r="D121" s="2"/>
      <c r="E121" s="2"/>
    </row>
    <row r="122" spans="1:5" ht="15.7" customHeight="1" x14ac:dyDescent="0.3">
      <c r="A122" s="2"/>
      <c r="B122" s="2"/>
      <c r="C122" s="2"/>
      <c r="D122" s="2"/>
      <c r="E122" s="2"/>
    </row>
    <row r="123" spans="1:5" ht="15.7" customHeight="1" x14ac:dyDescent="0.3">
      <c r="A123" s="2"/>
      <c r="B123" s="2"/>
      <c r="C123" s="2"/>
      <c r="D123" s="2"/>
      <c r="E123" s="2"/>
    </row>
    <row r="124" spans="1:5" ht="15.7" customHeight="1" x14ac:dyDescent="0.3">
      <c r="A124" s="2"/>
      <c r="B124" s="2"/>
      <c r="C124" s="2"/>
      <c r="D124" s="2"/>
      <c r="E124" s="2"/>
    </row>
    <row r="125" spans="1:5" ht="15.7" customHeight="1" x14ac:dyDescent="0.3">
      <c r="A125" s="2"/>
      <c r="B125" s="2"/>
      <c r="C125" s="2"/>
      <c r="D125" s="2"/>
      <c r="E125" s="2"/>
    </row>
    <row r="126" spans="1:5" ht="15.7" customHeight="1" x14ac:dyDescent="0.3">
      <c r="A126" s="2"/>
      <c r="B126" s="2"/>
      <c r="C126" s="2"/>
      <c r="D126" s="2"/>
      <c r="E126" s="2"/>
    </row>
    <row r="127" spans="1:5" ht="15.7" customHeight="1" x14ac:dyDescent="0.3">
      <c r="A127" s="2"/>
      <c r="B127" s="2"/>
      <c r="C127" s="2"/>
      <c r="D127" s="2"/>
      <c r="E127" s="2"/>
    </row>
    <row r="128" spans="1:5" ht="15.7" customHeight="1" x14ac:dyDescent="0.3">
      <c r="A128" s="2"/>
      <c r="B128" s="2"/>
      <c r="C128" s="2"/>
      <c r="D128" s="2"/>
      <c r="E128" s="2"/>
    </row>
    <row r="129" spans="1:5" ht="15.7" customHeight="1" x14ac:dyDescent="0.3">
      <c r="A129" s="2"/>
      <c r="B129" s="2"/>
      <c r="C129" s="2"/>
      <c r="D129" s="2"/>
      <c r="E129" s="2"/>
    </row>
    <row r="130" spans="1:5" ht="15.7" customHeight="1" x14ac:dyDescent="0.3">
      <c r="A130" s="2"/>
      <c r="B130" s="2"/>
      <c r="C130" s="2"/>
      <c r="D130" s="2"/>
      <c r="E130" s="2"/>
    </row>
    <row r="131" spans="1:5" ht="15.7" customHeight="1" x14ac:dyDescent="0.3">
      <c r="A131" s="2"/>
      <c r="B131" s="2"/>
      <c r="C131" s="2"/>
      <c r="D131" s="2"/>
      <c r="E131" s="2"/>
    </row>
    <row r="132" spans="1:5" ht="15.7" customHeight="1" x14ac:dyDescent="0.3">
      <c r="A132" s="2"/>
      <c r="B132" s="2"/>
      <c r="C132" s="2"/>
      <c r="D132" s="2"/>
      <c r="E132" s="2"/>
    </row>
    <row r="133" spans="1:5" ht="15.7" customHeight="1" x14ac:dyDescent="0.3">
      <c r="A133" s="2"/>
      <c r="B133" s="2"/>
      <c r="C133" s="2"/>
      <c r="D133" s="2"/>
      <c r="E133" s="2"/>
    </row>
    <row r="134" spans="1:5" ht="15.7" customHeight="1" x14ac:dyDescent="0.3">
      <c r="A134" s="2"/>
      <c r="B134" s="2"/>
      <c r="C134" s="2"/>
      <c r="D134" s="2"/>
      <c r="E134" s="2"/>
    </row>
    <row r="135" spans="1:5" ht="15.7" customHeight="1" x14ac:dyDescent="0.3">
      <c r="A135" s="2"/>
      <c r="B135" s="2"/>
      <c r="C135" s="2"/>
      <c r="D135" s="2"/>
      <c r="E135" s="2"/>
    </row>
    <row r="136" spans="1:5" ht="15.7" customHeight="1" x14ac:dyDescent="0.3">
      <c r="A136" s="2"/>
      <c r="B136" s="2"/>
      <c r="C136" s="2"/>
      <c r="D136" s="2"/>
      <c r="E136" s="2"/>
    </row>
    <row r="137" spans="1:5" ht="15.7" customHeight="1" x14ac:dyDescent="0.3">
      <c r="A137" s="2"/>
      <c r="B137" s="2"/>
      <c r="C137" s="2"/>
      <c r="D137" s="2"/>
      <c r="E137" s="2"/>
    </row>
    <row r="138" spans="1:5" ht="15.7" customHeight="1" x14ac:dyDescent="0.3">
      <c r="A138" s="2"/>
      <c r="B138" s="2"/>
      <c r="C138" s="2"/>
      <c r="D138" s="2"/>
      <c r="E138" s="2"/>
    </row>
    <row r="139" spans="1:5" ht="15.7" customHeight="1" x14ac:dyDescent="0.3">
      <c r="A139" s="2"/>
      <c r="B139" s="2"/>
      <c r="C139" s="2"/>
      <c r="D139" s="2"/>
      <c r="E139" s="2"/>
    </row>
    <row r="140" spans="1:5" ht="15.7" customHeight="1" x14ac:dyDescent="0.3">
      <c r="A140" s="2"/>
      <c r="B140" s="2"/>
      <c r="C140" s="2"/>
      <c r="D140" s="2"/>
      <c r="E140" s="2"/>
    </row>
    <row r="141" spans="1:5" ht="15.7" customHeight="1" x14ac:dyDescent="0.3">
      <c r="A141" s="2"/>
      <c r="B141" s="2"/>
      <c r="C141" s="2"/>
      <c r="D141" s="2"/>
      <c r="E141" s="2"/>
    </row>
    <row r="142" spans="1:5" ht="15.7" customHeight="1" x14ac:dyDescent="0.3">
      <c r="A142" s="2"/>
      <c r="B142" s="2"/>
      <c r="C142" s="2"/>
      <c r="D142" s="2"/>
      <c r="E142" s="2"/>
    </row>
    <row r="143" spans="1:5" ht="15.7" customHeight="1" x14ac:dyDescent="0.3">
      <c r="A143" s="2"/>
      <c r="B143" s="2"/>
      <c r="C143" s="2"/>
      <c r="D143" s="2"/>
      <c r="E143" s="2"/>
    </row>
    <row r="144" spans="1:5" ht="15.7" customHeight="1" x14ac:dyDescent="0.3">
      <c r="A144" s="2"/>
      <c r="B144" s="2"/>
      <c r="C144" s="2"/>
      <c r="D144" s="2"/>
      <c r="E144" s="2"/>
    </row>
    <row r="145" spans="1:5" ht="15.7" customHeight="1" x14ac:dyDescent="0.3">
      <c r="A145" s="2"/>
      <c r="B145" s="2"/>
      <c r="C145" s="2"/>
      <c r="D145" s="2"/>
      <c r="E145" s="2"/>
    </row>
    <row r="146" spans="1:5" ht="15.7" customHeight="1" x14ac:dyDescent="0.3">
      <c r="A146" s="2"/>
      <c r="B146" s="2"/>
      <c r="C146" s="2"/>
      <c r="D146" s="2"/>
      <c r="E146" s="2"/>
    </row>
    <row r="147" spans="1:5" ht="15.7" customHeight="1" x14ac:dyDescent="0.3">
      <c r="A147" s="2"/>
      <c r="B147" s="2"/>
      <c r="C147" s="2"/>
      <c r="D147" s="2"/>
      <c r="E147" s="2"/>
    </row>
    <row r="148" spans="1:5" ht="15.7" customHeight="1" x14ac:dyDescent="0.3">
      <c r="A148" s="2"/>
      <c r="B148" s="2"/>
      <c r="C148" s="2"/>
      <c r="D148" s="2"/>
      <c r="E148" s="2"/>
    </row>
    <row r="149" spans="1:5" ht="15.7" customHeight="1" x14ac:dyDescent="0.3">
      <c r="A149" s="2"/>
      <c r="B149" s="2"/>
      <c r="C149" s="2"/>
      <c r="D149" s="2"/>
      <c r="E149" s="2"/>
    </row>
    <row r="150" spans="1:5" ht="15.7" customHeight="1" x14ac:dyDescent="0.3">
      <c r="A150" s="2"/>
      <c r="B150" s="2"/>
      <c r="C150" s="2"/>
      <c r="D150" s="2"/>
      <c r="E150" s="2"/>
    </row>
    <row r="151" spans="1:5" ht="15.7" customHeight="1" x14ac:dyDescent="0.3">
      <c r="A151" s="2"/>
      <c r="B151" s="2"/>
      <c r="C151" s="2"/>
      <c r="D151" s="2"/>
      <c r="E151" s="2"/>
    </row>
    <row r="152" spans="1:5" ht="15.7" customHeight="1" x14ac:dyDescent="0.3">
      <c r="A152" s="2"/>
      <c r="B152" s="2"/>
      <c r="C152" s="2"/>
      <c r="D152" s="2"/>
      <c r="E152" s="2"/>
    </row>
    <row r="153" spans="1:5" ht="15.7" customHeight="1" x14ac:dyDescent="0.3">
      <c r="A153" s="2"/>
      <c r="B153" s="2"/>
      <c r="C153" s="2"/>
      <c r="D153" s="2"/>
      <c r="E153" s="2"/>
    </row>
    <row r="154" spans="1:5" ht="15.7" customHeight="1" x14ac:dyDescent="0.3">
      <c r="A154" s="2"/>
      <c r="B154" s="2"/>
      <c r="C154" s="2"/>
      <c r="D154" s="2"/>
      <c r="E154" s="2"/>
    </row>
    <row r="155" spans="1:5" ht="15.7" customHeight="1" x14ac:dyDescent="0.3">
      <c r="A155" s="2"/>
      <c r="B155" s="2"/>
      <c r="C155" s="2"/>
      <c r="D155" s="2"/>
      <c r="E155" s="2"/>
    </row>
    <row r="156" spans="1:5" ht="15.7" customHeight="1" x14ac:dyDescent="0.3">
      <c r="A156" s="2"/>
      <c r="B156" s="2"/>
      <c r="C156" s="2"/>
      <c r="D156" s="2"/>
      <c r="E156" s="2"/>
    </row>
    <row r="157" spans="1:5" ht="15.7" customHeight="1" x14ac:dyDescent="0.3">
      <c r="A157" s="2"/>
      <c r="B157" s="2"/>
      <c r="C157" s="2"/>
      <c r="D157" s="2"/>
      <c r="E157" s="2"/>
    </row>
    <row r="158" spans="1:5" ht="15.7" customHeight="1" x14ac:dyDescent="0.3">
      <c r="A158" s="2"/>
      <c r="B158" s="2"/>
      <c r="C158" s="2"/>
      <c r="D158" s="2"/>
      <c r="E158" s="2"/>
    </row>
    <row r="159" spans="1:5" ht="15.7" customHeight="1" x14ac:dyDescent="0.3">
      <c r="A159" s="2"/>
      <c r="B159" s="2"/>
      <c r="C159" s="2"/>
      <c r="D159" s="2"/>
      <c r="E159" s="2"/>
    </row>
    <row r="160" spans="1:5" ht="15.7" customHeight="1" x14ac:dyDescent="0.3">
      <c r="A160" s="2"/>
      <c r="B160" s="2"/>
      <c r="C160" s="2"/>
      <c r="D160" s="2"/>
      <c r="E160" s="2"/>
    </row>
    <row r="161" spans="1:5" ht="15.7" customHeight="1" x14ac:dyDescent="0.3">
      <c r="A161" s="2"/>
      <c r="B161" s="2"/>
      <c r="C161" s="2"/>
      <c r="D161" s="2"/>
      <c r="E161" s="2"/>
    </row>
    <row r="162" spans="1:5" ht="15.7" customHeight="1" x14ac:dyDescent="0.3">
      <c r="A162" s="2"/>
      <c r="B162" s="2"/>
      <c r="C162" s="2"/>
      <c r="D162" s="2"/>
      <c r="E162" s="2"/>
    </row>
    <row r="163" spans="1:5" ht="15.7" customHeight="1" x14ac:dyDescent="0.3">
      <c r="A163" s="2"/>
      <c r="B163" s="2"/>
      <c r="C163" s="2"/>
      <c r="D163" s="2"/>
      <c r="E163" s="2"/>
    </row>
    <row r="164" spans="1:5" ht="15.7" customHeight="1" x14ac:dyDescent="0.3">
      <c r="A164" s="2"/>
      <c r="B164" s="2"/>
      <c r="C164" s="2"/>
      <c r="D164" s="2"/>
      <c r="E164" s="2"/>
    </row>
    <row r="165" spans="1:5" ht="15.7" customHeight="1" x14ac:dyDescent="0.3">
      <c r="A165" s="2"/>
      <c r="B165" s="2"/>
      <c r="C165" s="2"/>
      <c r="D165" s="2"/>
      <c r="E165" s="2"/>
    </row>
    <row r="166" spans="1:5" ht="15.7" customHeight="1" x14ac:dyDescent="0.3">
      <c r="A166" s="2"/>
      <c r="B166" s="2"/>
      <c r="C166" s="2"/>
      <c r="D166" s="2"/>
      <c r="E166" s="2"/>
    </row>
    <row r="167" spans="1:5" ht="15.7" customHeight="1" x14ac:dyDescent="0.3">
      <c r="A167" s="2"/>
      <c r="B167" s="2"/>
      <c r="C167" s="2"/>
      <c r="D167" s="2"/>
      <c r="E167" s="2"/>
    </row>
    <row r="168" spans="1:5" ht="15.7" customHeight="1" x14ac:dyDescent="0.3">
      <c r="A168" s="2"/>
      <c r="B168" s="2"/>
      <c r="C168" s="2"/>
      <c r="D168" s="2"/>
      <c r="E168" s="2"/>
    </row>
    <row r="169" spans="1:5" ht="15.7" customHeight="1" x14ac:dyDescent="0.3">
      <c r="A169" s="2"/>
      <c r="B169" s="2"/>
      <c r="C169" s="2"/>
      <c r="D169" s="2"/>
      <c r="E169" s="2"/>
    </row>
    <row r="170" spans="1:5" ht="15.7" customHeight="1" x14ac:dyDescent="0.3">
      <c r="A170" s="2"/>
      <c r="B170" s="2"/>
      <c r="C170" s="2"/>
      <c r="D170" s="2"/>
      <c r="E170" s="2"/>
    </row>
    <row r="171" spans="1:5" ht="15.7" customHeight="1" x14ac:dyDescent="0.3">
      <c r="A171" s="2"/>
      <c r="B171" s="2"/>
      <c r="C171" s="2"/>
      <c r="D171" s="2"/>
      <c r="E171" s="2"/>
    </row>
    <row r="172" spans="1:5" ht="15.7" customHeight="1" x14ac:dyDescent="0.3">
      <c r="A172" s="2"/>
      <c r="B172" s="2"/>
      <c r="C172" s="2"/>
      <c r="D172" s="2"/>
      <c r="E172" s="2"/>
    </row>
    <row r="173" spans="1:5" ht="15.7" customHeight="1" x14ac:dyDescent="0.3">
      <c r="A173" s="2"/>
      <c r="B173" s="2"/>
      <c r="C173" s="2"/>
      <c r="D173" s="2"/>
      <c r="E173" s="2"/>
    </row>
    <row r="174" spans="1:5" ht="15.7" customHeight="1" x14ac:dyDescent="0.3">
      <c r="A174" s="2"/>
      <c r="B174" s="2"/>
      <c r="C174" s="2"/>
      <c r="D174" s="2"/>
      <c r="E174" s="2"/>
    </row>
    <row r="175" spans="1:5" ht="15.7" customHeight="1" x14ac:dyDescent="0.3">
      <c r="A175" s="2"/>
      <c r="B175" s="2"/>
      <c r="C175" s="2"/>
      <c r="D175" s="2"/>
      <c r="E175" s="2"/>
    </row>
    <row r="176" spans="1:5" ht="15.7" customHeight="1" x14ac:dyDescent="0.3">
      <c r="A176" s="2"/>
      <c r="B176" s="2"/>
      <c r="C176" s="2"/>
      <c r="D176" s="2"/>
      <c r="E176" s="2"/>
    </row>
    <row r="177" spans="1:5" ht="15.7" customHeight="1" x14ac:dyDescent="0.3">
      <c r="A177" s="2"/>
      <c r="B177" s="2"/>
      <c r="C177" s="2"/>
      <c r="D177" s="2"/>
      <c r="E177" s="2"/>
    </row>
    <row r="178" spans="1:5" ht="15.7" customHeight="1" x14ac:dyDescent="0.3">
      <c r="A178" s="2"/>
      <c r="B178" s="2"/>
      <c r="C178" s="2"/>
      <c r="D178" s="2"/>
      <c r="E178" s="2"/>
    </row>
    <row r="179" spans="1:5" ht="15.7" customHeight="1" x14ac:dyDescent="0.3">
      <c r="A179" s="2"/>
      <c r="B179" s="2"/>
      <c r="C179" s="2"/>
      <c r="D179" s="2"/>
      <c r="E179" s="2"/>
    </row>
    <row r="180" spans="1:5" ht="15.7" customHeight="1" x14ac:dyDescent="0.3">
      <c r="A180" s="2"/>
      <c r="B180" s="2"/>
      <c r="C180" s="2"/>
      <c r="D180" s="2"/>
      <c r="E180" s="2"/>
    </row>
    <row r="181" spans="1:5" ht="15.7" customHeight="1" x14ac:dyDescent="0.3">
      <c r="A181" s="2"/>
      <c r="B181" s="2"/>
      <c r="C181" s="2"/>
      <c r="D181" s="2"/>
      <c r="E181" s="2"/>
    </row>
    <row r="182" spans="1:5" ht="15.7" customHeight="1" x14ac:dyDescent="0.3">
      <c r="A182" s="2"/>
      <c r="B182" s="2"/>
      <c r="C182" s="2"/>
      <c r="D182" s="2"/>
      <c r="E182" s="2"/>
    </row>
    <row r="183" spans="1:5" ht="15.7" customHeight="1" x14ac:dyDescent="0.3">
      <c r="A183" s="2"/>
      <c r="B183" s="2"/>
      <c r="C183" s="2"/>
      <c r="D183" s="2"/>
      <c r="E183" s="2"/>
    </row>
    <row r="184" spans="1:5" ht="15.7" customHeight="1" x14ac:dyDescent="0.3">
      <c r="A184" s="2"/>
      <c r="B184" s="2"/>
      <c r="C184" s="2"/>
      <c r="D184" s="2"/>
      <c r="E184" s="2"/>
    </row>
    <row r="185" spans="1:5" ht="15.7" customHeight="1" x14ac:dyDescent="0.3">
      <c r="A185" s="2"/>
      <c r="B185" s="2"/>
      <c r="C185" s="2"/>
      <c r="D185" s="2"/>
      <c r="E185" s="2"/>
    </row>
    <row r="186" spans="1:5" ht="15.7" customHeight="1" x14ac:dyDescent="0.3">
      <c r="A186" s="2"/>
      <c r="B186" s="2"/>
      <c r="C186" s="2"/>
      <c r="D186" s="2"/>
      <c r="E186" s="2"/>
    </row>
    <row r="187" spans="1:5" ht="15.7" customHeight="1" x14ac:dyDescent="0.3">
      <c r="A187" s="2"/>
      <c r="B187" s="2"/>
      <c r="C187" s="2"/>
      <c r="D187" s="2"/>
      <c r="E187" s="2"/>
    </row>
    <row r="188" spans="1:5" ht="15.7" customHeight="1" x14ac:dyDescent="0.3">
      <c r="A188" s="2"/>
      <c r="B188" s="2"/>
      <c r="C188" s="2"/>
      <c r="D188" s="2"/>
      <c r="E188" s="2"/>
    </row>
    <row r="189" spans="1:5" ht="15.7" customHeight="1" x14ac:dyDescent="0.3">
      <c r="A189" s="2"/>
      <c r="B189" s="2"/>
      <c r="C189" s="2"/>
      <c r="D189" s="2"/>
      <c r="E189" s="2"/>
    </row>
    <row r="190" spans="1:5" ht="15.7" customHeight="1" x14ac:dyDescent="0.3">
      <c r="A190" s="2"/>
      <c r="B190" s="2"/>
      <c r="C190" s="2"/>
      <c r="D190" s="2"/>
      <c r="E190" s="2"/>
    </row>
    <row r="191" spans="1:5" ht="15.7" customHeight="1" x14ac:dyDescent="0.3">
      <c r="A191" s="2"/>
      <c r="B191" s="2"/>
      <c r="C191" s="2"/>
      <c r="D191" s="2"/>
      <c r="E191" s="2"/>
    </row>
    <row r="192" spans="1:5" ht="15.7" customHeight="1" x14ac:dyDescent="0.3">
      <c r="A192" s="2"/>
      <c r="B192" s="2"/>
      <c r="C192" s="2"/>
      <c r="D192" s="2"/>
      <c r="E192" s="2"/>
    </row>
    <row r="193" spans="1:5" ht="15.7" customHeight="1" x14ac:dyDescent="0.3">
      <c r="A193" s="2"/>
      <c r="B193" s="2"/>
      <c r="C193" s="2"/>
      <c r="D193" s="2"/>
      <c r="E193" s="2"/>
    </row>
    <row r="194" spans="1:5" ht="15.7" customHeight="1" x14ac:dyDescent="0.3">
      <c r="A194" s="2"/>
      <c r="B194" s="2"/>
      <c r="C194" s="2"/>
      <c r="D194" s="2"/>
      <c r="E194" s="2"/>
    </row>
    <row r="195" spans="1:5" ht="15.7" customHeight="1" x14ac:dyDescent="0.3">
      <c r="A195" s="2"/>
      <c r="B195" s="2"/>
      <c r="C195" s="2"/>
      <c r="D195" s="2"/>
      <c r="E195" s="2"/>
    </row>
    <row r="196" spans="1:5" ht="15.7" customHeight="1" x14ac:dyDescent="0.3">
      <c r="A196" s="2"/>
      <c r="B196" s="2"/>
      <c r="C196" s="2"/>
      <c r="D196" s="2"/>
      <c r="E196" s="2"/>
    </row>
    <row r="197" spans="1:5" ht="15.7" customHeight="1" x14ac:dyDescent="0.3">
      <c r="A197" s="2"/>
      <c r="B197" s="2"/>
      <c r="C197" s="2"/>
      <c r="D197" s="2"/>
      <c r="E197" s="2"/>
    </row>
    <row r="198" spans="1:5" ht="15.7" customHeight="1" x14ac:dyDescent="0.3">
      <c r="A198" s="2"/>
      <c r="B198" s="2"/>
      <c r="C198" s="2"/>
      <c r="D198" s="2"/>
      <c r="E198" s="2"/>
    </row>
    <row r="199" spans="1:5" ht="15.7" customHeight="1" x14ac:dyDescent="0.3">
      <c r="A199" s="2"/>
      <c r="B199" s="2"/>
      <c r="C199" s="2"/>
      <c r="D199" s="2"/>
      <c r="E199" s="2"/>
    </row>
    <row r="200" spans="1:5" ht="15.7" customHeight="1" x14ac:dyDescent="0.3">
      <c r="A200" s="2"/>
      <c r="B200" s="2"/>
      <c r="C200" s="2"/>
      <c r="D200" s="2"/>
      <c r="E200" s="2"/>
    </row>
    <row r="201" spans="1:5" ht="15.7" customHeight="1" x14ac:dyDescent="0.3">
      <c r="A201" s="2"/>
      <c r="B201" s="2"/>
      <c r="C201" s="2"/>
      <c r="D201" s="2"/>
      <c r="E201" s="2"/>
    </row>
    <row r="202" spans="1:5" ht="15.7" customHeight="1" x14ac:dyDescent="0.3">
      <c r="A202" s="2"/>
      <c r="B202" s="2"/>
      <c r="C202" s="2"/>
      <c r="D202" s="2"/>
      <c r="E202" s="2"/>
    </row>
    <row r="203" spans="1:5" ht="15.7" customHeight="1" x14ac:dyDescent="0.3">
      <c r="A203" s="2"/>
      <c r="B203" s="2"/>
      <c r="C203" s="2"/>
      <c r="D203" s="2"/>
      <c r="E203" s="2"/>
    </row>
    <row r="204" spans="1:5" ht="15.7" customHeight="1" x14ac:dyDescent="0.3">
      <c r="A204" s="2"/>
      <c r="B204" s="2"/>
      <c r="C204" s="2"/>
      <c r="D204" s="2"/>
      <c r="E204" s="2"/>
    </row>
    <row r="205" spans="1:5" ht="15.7" customHeight="1" x14ac:dyDescent="0.3">
      <c r="A205" s="2"/>
      <c r="B205" s="2"/>
      <c r="C205" s="2"/>
      <c r="D205" s="2"/>
      <c r="E205" s="2"/>
    </row>
    <row r="206" spans="1:5" ht="15.7" customHeight="1" x14ac:dyDescent="0.3">
      <c r="A206" s="2"/>
      <c r="B206" s="2"/>
      <c r="C206" s="2"/>
      <c r="D206" s="2"/>
      <c r="E206" s="2"/>
    </row>
    <row r="207" spans="1:5" ht="15.7" customHeight="1" x14ac:dyDescent="0.3">
      <c r="A207" s="2"/>
      <c r="B207" s="2"/>
      <c r="C207" s="2"/>
      <c r="D207" s="2"/>
      <c r="E207" s="2"/>
    </row>
    <row r="208" spans="1:5" ht="15.7" customHeight="1" x14ac:dyDescent="0.3">
      <c r="A208" s="2"/>
      <c r="B208" s="2"/>
      <c r="C208" s="2"/>
      <c r="D208" s="2"/>
      <c r="E208" s="2"/>
    </row>
    <row r="209" spans="1:5" ht="15.7" customHeight="1" x14ac:dyDescent="0.3">
      <c r="A209" s="2"/>
      <c r="B209" s="2"/>
      <c r="C209" s="2"/>
      <c r="D209" s="2"/>
      <c r="E209" s="2"/>
    </row>
    <row r="210" spans="1:5" ht="15.7" customHeight="1" x14ac:dyDescent="0.3">
      <c r="A210" s="2"/>
      <c r="B210" s="2"/>
      <c r="C210" s="2"/>
      <c r="D210" s="2"/>
      <c r="E210" s="2"/>
    </row>
    <row r="211" spans="1:5" ht="15.7" customHeight="1" x14ac:dyDescent="0.3">
      <c r="A211" s="2"/>
      <c r="B211" s="2"/>
      <c r="C211" s="2"/>
      <c r="D211" s="2"/>
      <c r="E211" s="2"/>
    </row>
    <row r="212" spans="1:5" ht="15.7" customHeight="1" x14ac:dyDescent="0.3">
      <c r="A212" s="2"/>
      <c r="B212" s="2"/>
      <c r="C212" s="2"/>
      <c r="D212" s="2"/>
      <c r="E212" s="2"/>
    </row>
    <row r="213" spans="1:5" ht="15.7" customHeight="1" x14ac:dyDescent="0.3">
      <c r="A213" s="2"/>
      <c r="B213" s="2"/>
      <c r="C213" s="2"/>
      <c r="D213" s="2"/>
      <c r="E213" s="2"/>
    </row>
    <row r="214" spans="1:5" ht="15.7" customHeight="1" x14ac:dyDescent="0.3">
      <c r="A214" s="2"/>
      <c r="B214" s="2"/>
      <c r="C214" s="2"/>
      <c r="D214" s="2"/>
      <c r="E214" s="2"/>
    </row>
    <row r="215" spans="1:5" ht="15.7" customHeight="1" x14ac:dyDescent="0.3">
      <c r="A215" s="2"/>
      <c r="B215" s="2"/>
      <c r="C215" s="2"/>
      <c r="D215" s="2"/>
      <c r="E215" s="2"/>
    </row>
    <row r="216" spans="1:5" ht="15.7" customHeight="1" x14ac:dyDescent="0.3">
      <c r="A216" s="2"/>
      <c r="B216" s="2"/>
      <c r="C216" s="2"/>
      <c r="D216" s="2"/>
      <c r="E216" s="2"/>
    </row>
    <row r="217" spans="1:5" ht="15.7" customHeight="1" x14ac:dyDescent="0.3">
      <c r="A217" s="2"/>
      <c r="B217" s="2"/>
      <c r="C217" s="2"/>
      <c r="D217" s="2"/>
      <c r="E217" s="2"/>
    </row>
    <row r="218" spans="1:5" ht="15.7" customHeight="1" x14ac:dyDescent="0.3">
      <c r="A218" s="2"/>
      <c r="B218" s="2"/>
      <c r="C218" s="2"/>
      <c r="D218" s="2"/>
      <c r="E218" s="2"/>
    </row>
    <row r="219" spans="1:5" ht="15.7" customHeight="1" x14ac:dyDescent="0.3">
      <c r="A219" s="2"/>
      <c r="B219" s="2"/>
      <c r="C219" s="2"/>
      <c r="D219" s="2"/>
      <c r="E219" s="2"/>
    </row>
    <row r="220" spans="1:5" ht="15.7" customHeight="1" x14ac:dyDescent="0.3">
      <c r="A220" s="2"/>
      <c r="B220" s="2"/>
      <c r="C220" s="2"/>
      <c r="D220" s="2"/>
      <c r="E220" s="2"/>
    </row>
    <row r="221" spans="1:5" ht="15.7" customHeight="1" x14ac:dyDescent="0.3">
      <c r="A221" s="2"/>
      <c r="B221" s="2"/>
      <c r="C221" s="2"/>
      <c r="D221" s="2"/>
      <c r="E221" s="2"/>
    </row>
    <row r="222" spans="1:5" ht="15.7" customHeight="1" x14ac:dyDescent="0.3">
      <c r="A222" s="2"/>
      <c r="B222" s="2"/>
      <c r="C222" s="2"/>
      <c r="D222" s="2"/>
      <c r="E222" s="2"/>
    </row>
    <row r="223" spans="1:5" ht="15.7" customHeight="1" x14ac:dyDescent="0.3">
      <c r="A223" s="2"/>
      <c r="B223" s="2"/>
      <c r="C223" s="2"/>
      <c r="D223" s="2"/>
      <c r="E223" s="2"/>
    </row>
    <row r="224" spans="1:5" ht="15.7" customHeight="1" x14ac:dyDescent="0.3">
      <c r="A224" s="2"/>
      <c r="B224" s="2"/>
      <c r="C224" s="2"/>
      <c r="D224" s="2"/>
      <c r="E224" s="2"/>
    </row>
    <row r="225" spans="1:5" ht="15.7" customHeight="1" x14ac:dyDescent="0.3">
      <c r="A225" s="2"/>
      <c r="B225" s="2"/>
      <c r="C225" s="2"/>
      <c r="D225" s="2"/>
      <c r="E225" s="2"/>
    </row>
    <row r="226" spans="1:5" ht="15.7" customHeight="1" x14ac:dyDescent="0.3">
      <c r="A226" s="2"/>
      <c r="B226" s="2"/>
      <c r="C226" s="2"/>
      <c r="D226" s="2"/>
      <c r="E226" s="2"/>
    </row>
    <row r="227" spans="1:5" ht="15.7" customHeight="1" x14ac:dyDescent="0.3">
      <c r="A227" s="2"/>
      <c r="B227" s="2"/>
      <c r="C227" s="2"/>
      <c r="D227" s="2"/>
      <c r="E227" s="2"/>
    </row>
    <row r="228" spans="1:5" ht="15.7" customHeight="1" x14ac:dyDescent="0.3">
      <c r="A228" s="2"/>
      <c r="B228" s="2"/>
      <c r="C228" s="2"/>
      <c r="D228" s="2"/>
      <c r="E228" s="2"/>
    </row>
    <row r="229" spans="1:5" ht="15.7" customHeight="1" x14ac:dyDescent="0.3">
      <c r="A229" s="2"/>
      <c r="B229" s="2"/>
      <c r="C229" s="2"/>
      <c r="D229" s="2"/>
      <c r="E229" s="2"/>
    </row>
    <row r="230" spans="1:5" ht="15.7" customHeight="1" x14ac:dyDescent="0.3">
      <c r="A230" s="2"/>
      <c r="B230" s="2"/>
      <c r="C230" s="2"/>
      <c r="D230" s="2"/>
      <c r="E230" s="2"/>
    </row>
    <row r="231" spans="1:5" ht="15.7" customHeight="1" x14ac:dyDescent="0.3">
      <c r="A231" s="2"/>
      <c r="B231" s="2"/>
      <c r="C231" s="2"/>
      <c r="D231" s="2"/>
      <c r="E231" s="2"/>
    </row>
    <row r="232" spans="1:5" ht="15.7" customHeight="1" x14ac:dyDescent="0.3">
      <c r="A232" s="2"/>
      <c r="B232" s="2"/>
      <c r="C232" s="2"/>
      <c r="D232" s="2"/>
      <c r="E232" s="2"/>
    </row>
    <row r="233" spans="1:5" ht="15.7" customHeight="1" x14ac:dyDescent="0.3">
      <c r="A233" s="2"/>
      <c r="B233" s="2"/>
      <c r="C233" s="2"/>
      <c r="D233" s="2"/>
      <c r="E233" s="2"/>
    </row>
    <row r="234" spans="1:5" ht="15.7" customHeight="1" x14ac:dyDescent="0.3">
      <c r="A234" s="2"/>
      <c r="B234" s="2"/>
      <c r="C234" s="2"/>
      <c r="D234" s="2"/>
      <c r="E234" s="2"/>
    </row>
    <row r="235" spans="1:5" ht="15.7" customHeight="1" x14ac:dyDescent="0.3">
      <c r="A235" s="2"/>
      <c r="B235" s="2"/>
      <c r="C235" s="2"/>
      <c r="D235" s="2"/>
      <c r="E235" s="2"/>
    </row>
    <row r="236" spans="1:5" ht="15.7" customHeight="1" x14ac:dyDescent="0.3">
      <c r="A236" s="2"/>
      <c r="B236" s="2"/>
      <c r="C236" s="2"/>
      <c r="D236" s="2"/>
      <c r="E236" s="2"/>
    </row>
    <row r="237" spans="1:5" ht="15.7" customHeight="1" x14ac:dyDescent="0.3">
      <c r="A237" s="2"/>
      <c r="B237" s="2"/>
      <c r="C237" s="2"/>
      <c r="D237" s="2"/>
      <c r="E237" s="2"/>
    </row>
    <row r="238" spans="1:5" ht="15.7" customHeight="1" x14ac:dyDescent="0.3">
      <c r="A238" s="2"/>
      <c r="B238" s="2"/>
      <c r="C238" s="2"/>
      <c r="D238" s="2"/>
      <c r="E238" s="2"/>
    </row>
    <row r="239" spans="1:5" ht="15.7" customHeight="1" x14ac:dyDescent="0.3">
      <c r="A239" s="2"/>
      <c r="B239" s="2"/>
      <c r="C239" s="2"/>
      <c r="D239" s="2"/>
      <c r="E239" s="2"/>
    </row>
    <row r="240" spans="1:5" ht="15.7" customHeight="1" x14ac:dyDescent="0.3">
      <c r="A240" s="2"/>
      <c r="B240" s="2"/>
      <c r="C240" s="2"/>
      <c r="D240" s="2"/>
      <c r="E240" s="2"/>
    </row>
    <row r="241" spans="1:5" ht="15.7" customHeight="1" x14ac:dyDescent="0.3">
      <c r="A241" s="2"/>
      <c r="B241" s="2"/>
      <c r="C241" s="2"/>
      <c r="D241" s="2"/>
      <c r="E241" s="2"/>
    </row>
    <row r="242" spans="1:5" ht="15.7" customHeight="1" x14ac:dyDescent="0.3">
      <c r="A242" s="2"/>
      <c r="B242" s="2"/>
      <c r="C242" s="2"/>
      <c r="D242" s="2"/>
      <c r="E242" s="2"/>
    </row>
    <row r="243" spans="1:5" ht="15.7" customHeight="1" x14ac:dyDescent="0.3">
      <c r="A243" s="2"/>
      <c r="B243" s="2"/>
      <c r="C243" s="2"/>
      <c r="D243" s="2"/>
      <c r="E243" s="2"/>
    </row>
    <row r="244" spans="1:5" ht="15.7" customHeight="1" x14ac:dyDescent="0.3">
      <c r="A244" s="2"/>
      <c r="B244" s="2"/>
      <c r="C244" s="2"/>
      <c r="D244" s="2"/>
      <c r="E244" s="2"/>
    </row>
    <row r="245" spans="1:5" ht="15.7" customHeight="1" x14ac:dyDescent="0.3">
      <c r="A245" s="2"/>
      <c r="B245" s="2"/>
      <c r="C245" s="2"/>
      <c r="D245" s="2"/>
      <c r="E245" s="2"/>
    </row>
    <row r="246" spans="1:5" ht="15.7" customHeight="1" x14ac:dyDescent="0.3">
      <c r="A246" s="2"/>
      <c r="B246" s="2"/>
      <c r="C246" s="2"/>
      <c r="D246" s="2"/>
      <c r="E246" s="2"/>
    </row>
    <row r="247" spans="1:5" ht="15.7" customHeight="1" x14ac:dyDescent="0.3">
      <c r="A247" s="2"/>
      <c r="B247" s="2"/>
      <c r="C247" s="2"/>
      <c r="D247" s="2"/>
      <c r="E247" s="2"/>
    </row>
    <row r="248" spans="1:5" ht="15.7" customHeight="1" x14ac:dyDescent="0.3">
      <c r="A248" s="2"/>
      <c r="B248" s="2"/>
      <c r="C248" s="2"/>
      <c r="D248" s="2"/>
      <c r="E248" s="2"/>
    </row>
    <row r="249" spans="1:5" ht="15.7" customHeight="1" x14ac:dyDescent="0.3">
      <c r="A249" s="2"/>
      <c r="B249" s="2"/>
      <c r="C249" s="2"/>
      <c r="D249" s="2"/>
      <c r="E249" s="2"/>
    </row>
    <row r="250" spans="1:5" ht="15.7" customHeight="1" x14ac:dyDescent="0.3">
      <c r="A250" s="2"/>
      <c r="B250" s="2"/>
      <c r="C250" s="2"/>
      <c r="D250" s="2"/>
      <c r="E250" s="2"/>
    </row>
    <row r="251" spans="1:5" ht="15.7" customHeight="1" x14ac:dyDescent="0.3">
      <c r="A251" s="2"/>
      <c r="B251" s="2"/>
      <c r="C251" s="2"/>
      <c r="D251" s="2"/>
      <c r="E251" s="2"/>
    </row>
    <row r="252" spans="1:5" ht="15.7" customHeight="1" x14ac:dyDescent="0.3">
      <c r="A252" s="2"/>
      <c r="B252" s="2"/>
      <c r="C252" s="2"/>
      <c r="D252" s="2"/>
      <c r="E252" s="2"/>
    </row>
    <row r="253" spans="1:5" ht="15.7" customHeight="1" x14ac:dyDescent="0.3">
      <c r="A253" s="2"/>
      <c r="B253" s="2"/>
      <c r="C253" s="2"/>
      <c r="D253" s="2"/>
      <c r="E253" s="2"/>
    </row>
    <row r="254" spans="1:5" ht="15.7" customHeight="1" x14ac:dyDescent="0.3">
      <c r="A254" s="2"/>
      <c r="B254" s="2"/>
      <c r="C254" s="2"/>
      <c r="D254" s="2"/>
      <c r="E254" s="2"/>
    </row>
    <row r="255" spans="1:5" ht="15.7" customHeight="1" x14ac:dyDescent="0.3">
      <c r="A255" s="2"/>
      <c r="B255" s="2"/>
      <c r="C255" s="2"/>
      <c r="D255" s="2"/>
      <c r="E255" s="2"/>
    </row>
    <row r="256" spans="1:5" ht="15.7" customHeight="1" x14ac:dyDescent="0.3">
      <c r="A256" s="2"/>
      <c r="B256" s="2"/>
      <c r="C256" s="2"/>
      <c r="D256" s="2"/>
      <c r="E256" s="2"/>
    </row>
    <row r="257" spans="1:5" ht="15.7" customHeight="1" x14ac:dyDescent="0.3">
      <c r="A257" s="2"/>
      <c r="B257" s="2"/>
      <c r="C257" s="2"/>
      <c r="D257" s="2"/>
      <c r="E257" s="2"/>
    </row>
    <row r="258" spans="1:5" ht="15.7" customHeight="1" x14ac:dyDescent="0.3">
      <c r="A258" s="2"/>
      <c r="B258" s="2"/>
      <c r="C258" s="2"/>
      <c r="D258" s="2"/>
      <c r="E258" s="2"/>
    </row>
    <row r="259" spans="1:5" ht="15.7" customHeight="1" x14ac:dyDescent="0.3">
      <c r="A259" s="2"/>
      <c r="B259" s="2"/>
      <c r="C259" s="2"/>
      <c r="D259" s="2"/>
      <c r="E259" s="2"/>
    </row>
    <row r="260" spans="1:5" ht="15.7" customHeight="1" x14ac:dyDescent="0.3">
      <c r="A260" s="2"/>
      <c r="B260" s="2"/>
      <c r="C260" s="2"/>
      <c r="D260" s="2"/>
      <c r="E260" s="2"/>
    </row>
    <row r="261" spans="1:5" ht="15.7" customHeight="1" x14ac:dyDescent="0.3">
      <c r="A261" s="2"/>
      <c r="B261" s="2"/>
      <c r="C261" s="2"/>
      <c r="D261" s="2"/>
      <c r="E261" s="2"/>
    </row>
    <row r="262" spans="1:5" ht="15.7" customHeight="1" x14ac:dyDescent="0.3">
      <c r="A262" s="2"/>
      <c r="B262" s="2"/>
      <c r="C262" s="2"/>
      <c r="D262" s="2"/>
      <c r="E262" s="2"/>
    </row>
    <row r="263" spans="1:5" ht="15.7" customHeight="1" x14ac:dyDescent="0.3">
      <c r="A263" s="2"/>
      <c r="B263" s="2"/>
      <c r="C263" s="2"/>
      <c r="D263" s="2"/>
      <c r="E263" s="2"/>
    </row>
    <row r="264" spans="1:5" ht="15.7" customHeight="1" x14ac:dyDescent="0.3">
      <c r="A264" s="2"/>
      <c r="B264" s="2"/>
      <c r="C264" s="2"/>
      <c r="D264" s="2"/>
      <c r="E264" s="2"/>
    </row>
    <row r="265" spans="1:5" ht="15.7" customHeight="1" x14ac:dyDescent="0.3">
      <c r="A265" s="2"/>
      <c r="B265" s="2"/>
      <c r="C265" s="2"/>
      <c r="D265" s="2"/>
      <c r="E265" s="2"/>
    </row>
    <row r="266" spans="1:5" ht="15.7" customHeight="1" x14ac:dyDescent="0.3">
      <c r="A266" s="2"/>
      <c r="B266" s="2"/>
      <c r="C266" s="2"/>
      <c r="D266" s="2"/>
      <c r="E266" s="2"/>
    </row>
    <row r="267" spans="1:5" ht="15.7" customHeight="1" x14ac:dyDescent="0.3">
      <c r="A267" s="2"/>
      <c r="B267" s="2"/>
      <c r="C267" s="2"/>
      <c r="D267" s="2"/>
      <c r="E267" s="2"/>
    </row>
    <row r="268" spans="1:5" ht="15.7" customHeight="1" x14ac:dyDescent="0.3">
      <c r="A268" s="2"/>
      <c r="B268" s="2"/>
      <c r="C268" s="2"/>
      <c r="D268" s="2"/>
      <c r="E268" s="2"/>
    </row>
    <row r="269" spans="1:5" ht="15.7" customHeight="1" x14ac:dyDescent="0.3">
      <c r="A269" s="2"/>
      <c r="B269" s="2"/>
      <c r="C269" s="2"/>
      <c r="D269" s="2"/>
      <c r="E269" s="2"/>
    </row>
    <row r="270" spans="1:5" ht="15.7" customHeight="1" x14ac:dyDescent="0.3">
      <c r="A270" s="2"/>
      <c r="B270" s="2"/>
      <c r="C270" s="2"/>
      <c r="D270" s="2"/>
      <c r="E270" s="2"/>
    </row>
    <row r="271" spans="1:5" ht="15.7" customHeight="1" x14ac:dyDescent="0.3">
      <c r="A271" s="2"/>
      <c r="B271" s="2"/>
      <c r="C271" s="2"/>
      <c r="D271" s="2"/>
      <c r="E271" s="2"/>
    </row>
    <row r="272" spans="1:5" ht="15.7" customHeight="1" x14ac:dyDescent="0.3">
      <c r="A272" s="2"/>
      <c r="B272" s="2"/>
      <c r="C272" s="2"/>
      <c r="D272" s="2"/>
      <c r="E272" s="2"/>
    </row>
    <row r="273" spans="1:5" ht="15.7" customHeight="1" x14ac:dyDescent="0.3">
      <c r="A273" s="2"/>
      <c r="B273" s="2"/>
      <c r="C273" s="2"/>
      <c r="D273" s="2"/>
      <c r="E273" s="2"/>
    </row>
    <row r="274" spans="1:5" ht="15.7" customHeight="1" x14ac:dyDescent="0.3">
      <c r="A274" s="2"/>
      <c r="B274" s="2"/>
      <c r="C274" s="2"/>
      <c r="D274" s="2"/>
      <c r="E274" s="2"/>
    </row>
    <row r="275" spans="1:5" ht="15.7" customHeight="1" x14ac:dyDescent="0.3">
      <c r="A275" s="2"/>
      <c r="B275" s="2"/>
      <c r="C275" s="2"/>
      <c r="D275" s="2"/>
      <c r="E275" s="2"/>
    </row>
    <row r="276" spans="1:5" ht="15.7" customHeight="1" x14ac:dyDescent="0.3">
      <c r="A276" s="2"/>
      <c r="B276" s="2"/>
      <c r="C276" s="2"/>
      <c r="D276" s="2"/>
      <c r="E276" s="2"/>
    </row>
    <row r="277" spans="1:5" ht="15.7" customHeight="1" x14ac:dyDescent="0.3">
      <c r="A277" s="2"/>
      <c r="B277" s="2"/>
      <c r="C277" s="2"/>
      <c r="D277" s="2"/>
      <c r="E277" s="2"/>
    </row>
    <row r="278" spans="1:5" ht="15.7" customHeight="1" x14ac:dyDescent="0.3">
      <c r="A278" s="2"/>
      <c r="B278" s="2"/>
      <c r="C278" s="2"/>
      <c r="D278" s="2"/>
      <c r="E278" s="2"/>
    </row>
    <row r="279" spans="1:5" ht="15.7" customHeight="1" x14ac:dyDescent="0.3">
      <c r="A279" s="2"/>
      <c r="B279" s="2"/>
      <c r="C279" s="2"/>
      <c r="D279" s="2"/>
      <c r="E279" s="2"/>
    </row>
    <row r="280" spans="1:5" ht="15.7" customHeight="1" x14ac:dyDescent="0.3">
      <c r="A280" s="2"/>
      <c r="B280" s="2"/>
      <c r="C280" s="2"/>
      <c r="D280" s="2"/>
      <c r="E280" s="2"/>
    </row>
    <row r="281" spans="1:5" ht="15.7" customHeight="1" x14ac:dyDescent="0.3">
      <c r="A281" s="2"/>
      <c r="B281" s="2"/>
      <c r="C281" s="2"/>
      <c r="D281" s="2"/>
      <c r="E281" s="2"/>
    </row>
    <row r="282" spans="1:5" ht="15.7" customHeight="1" x14ac:dyDescent="0.3">
      <c r="A282" s="2"/>
      <c r="B282" s="2"/>
      <c r="C282" s="2"/>
      <c r="D282" s="2"/>
      <c r="E282" s="2"/>
    </row>
    <row r="283" spans="1:5" ht="15.7" customHeight="1" x14ac:dyDescent="0.3">
      <c r="A283" s="2"/>
      <c r="B283" s="2"/>
      <c r="C283" s="2"/>
      <c r="D283" s="2"/>
      <c r="E283" s="2"/>
    </row>
    <row r="284" spans="1:5" ht="15.7" customHeight="1" x14ac:dyDescent="0.3">
      <c r="A284" s="2"/>
      <c r="B284" s="2"/>
      <c r="C284" s="2"/>
      <c r="D284" s="2"/>
      <c r="E284" s="2"/>
    </row>
    <row r="285" spans="1:5" ht="15.7" customHeight="1" x14ac:dyDescent="0.3">
      <c r="A285" s="2"/>
      <c r="B285" s="2"/>
      <c r="C285" s="2"/>
      <c r="D285" s="2"/>
      <c r="E285" s="2"/>
    </row>
    <row r="286" spans="1:5" ht="15.7" customHeight="1" x14ac:dyDescent="0.3">
      <c r="A286" s="2"/>
      <c r="B286" s="2"/>
      <c r="C286" s="2"/>
      <c r="D286" s="2"/>
      <c r="E286" s="2"/>
    </row>
    <row r="287" spans="1:5" ht="15.7" customHeight="1" x14ac:dyDescent="0.3">
      <c r="A287" s="2"/>
      <c r="B287" s="2"/>
      <c r="C287" s="2"/>
      <c r="D287" s="2"/>
      <c r="E287" s="2"/>
    </row>
    <row r="288" spans="1:5" ht="15.7" customHeight="1" x14ac:dyDescent="0.3">
      <c r="A288" s="2"/>
      <c r="B288" s="2"/>
      <c r="C288" s="2"/>
      <c r="D288" s="2"/>
      <c r="E288" s="2"/>
    </row>
    <row r="289" spans="1:5" ht="15.7" customHeight="1" x14ac:dyDescent="0.3">
      <c r="A289" s="2"/>
      <c r="B289" s="2"/>
      <c r="C289" s="2"/>
      <c r="D289" s="2"/>
      <c r="E289" s="2"/>
    </row>
    <row r="290" spans="1:5" ht="15.7" customHeight="1" x14ac:dyDescent="0.3">
      <c r="A290" s="2"/>
      <c r="B290" s="2"/>
      <c r="C290" s="2"/>
      <c r="D290" s="2"/>
      <c r="E290" s="2"/>
    </row>
    <row r="291" spans="1:5" ht="15.7" customHeight="1" x14ac:dyDescent="0.3">
      <c r="A291" s="2"/>
      <c r="B291" s="2"/>
      <c r="C291" s="2"/>
      <c r="D291" s="2"/>
      <c r="E291" s="2"/>
    </row>
    <row r="292" spans="1:5" ht="15.7" customHeight="1" x14ac:dyDescent="0.3">
      <c r="A292" s="2"/>
      <c r="B292" s="2"/>
      <c r="C292" s="2"/>
      <c r="D292" s="2"/>
      <c r="E292" s="2"/>
    </row>
    <row r="293" spans="1:5" ht="15.7" customHeight="1" x14ac:dyDescent="0.3">
      <c r="A293" s="2"/>
      <c r="B293" s="2"/>
      <c r="C293" s="2"/>
      <c r="D293" s="2"/>
      <c r="E293" s="2"/>
    </row>
    <row r="294" spans="1:5" ht="15.7" customHeight="1" x14ac:dyDescent="0.3">
      <c r="A294" s="2"/>
      <c r="B294" s="2"/>
      <c r="C294" s="2"/>
      <c r="D294" s="2"/>
      <c r="E294" s="2"/>
    </row>
    <row r="295" spans="1:5" ht="15.7" customHeight="1" x14ac:dyDescent="0.3">
      <c r="A295" s="2"/>
      <c r="B295" s="2"/>
      <c r="C295" s="2"/>
      <c r="D295" s="2"/>
      <c r="E295" s="2"/>
    </row>
    <row r="296" spans="1:5" ht="15.7" customHeight="1" x14ac:dyDescent="0.3">
      <c r="A296" s="2"/>
      <c r="B296" s="2"/>
      <c r="C296" s="2"/>
      <c r="D296" s="2"/>
      <c r="E296" s="2"/>
    </row>
    <row r="297" spans="1:5" ht="15.7" customHeight="1" x14ac:dyDescent="0.3">
      <c r="A297" s="2"/>
      <c r="B297" s="2"/>
      <c r="C297" s="2"/>
      <c r="D297" s="2"/>
      <c r="E297" s="2"/>
    </row>
    <row r="298" spans="1:5" ht="15.7" customHeight="1" x14ac:dyDescent="0.3">
      <c r="A298" s="2"/>
      <c r="B298" s="2"/>
      <c r="C298" s="2"/>
      <c r="D298" s="2"/>
      <c r="E298" s="2"/>
    </row>
    <row r="299" spans="1:5" ht="15.7" customHeight="1" x14ac:dyDescent="0.3">
      <c r="A299" s="2"/>
      <c r="B299" s="2"/>
      <c r="C299" s="2"/>
      <c r="D299" s="2"/>
      <c r="E299" s="2"/>
    </row>
    <row r="300" spans="1:5" ht="15.7" customHeight="1" x14ac:dyDescent="0.3">
      <c r="A300" s="2"/>
      <c r="B300" s="2"/>
      <c r="C300" s="2"/>
      <c r="D300" s="2"/>
      <c r="E300" s="2"/>
    </row>
    <row r="301" spans="1:5" ht="15.7" customHeight="1" x14ac:dyDescent="0.3">
      <c r="A301" s="2"/>
      <c r="B301" s="2"/>
      <c r="C301" s="2"/>
      <c r="D301" s="2"/>
      <c r="E301" s="2"/>
    </row>
    <row r="302" spans="1:5" ht="15.7" customHeight="1" x14ac:dyDescent="0.3">
      <c r="A302" s="2"/>
      <c r="B302" s="2"/>
      <c r="C302" s="2"/>
      <c r="D302" s="2"/>
      <c r="E302" s="2"/>
    </row>
    <row r="303" spans="1:5" ht="15.7" customHeight="1" x14ac:dyDescent="0.3">
      <c r="A303" s="2"/>
      <c r="B303" s="2"/>
      <c r="C303" s="2"/>
      <c r="D303" s="2"/>
      <c r="E303" s="2"/>
    </row>
    <row r="304" spans="1:5" ht="15.7" customHeight="1" x14ac:dyDescent="0.3">
      <c r="A304" s="2"/>
      <c r="B304" s="2"/>
      <c r="C304" s="2"/>
      <c r="D304" s="2"/>
      <c r="E304" s="2"/>
    </row>
    <row r="305" spans="1:5" ht="15.7" customHeight="1" x14ac:dyDescent="0.3">
      <c r="A305" s="2"/>
      <c r="B305" s="2"/>
      <c r="C305" s="2"/>
      <c r="D305" s="2"/>
      <c r="E305" s="2"/>
    </row>
    <row r="306" spans="1:5" ht="15.7" customHeight="1" x14ac:dyDescent="0.3">
      <c r="A306" s="2"/>
      <c r="B306" s="2"/>
      <c r="C306" s="2"/>
      <c r="D306" s="2"/>
      <c r="E306" s="2"/>
    </row>
    <row r="307" spans="1:5" ht="15.7" customHeight="1" x14ac:dyDescent="0.3">
      <c r="A307" s="2"/>
      <c r="B307" s="2"/>
      <c r="C307" s="2"/>
      <c r="D307" s="2"/>
      <c r="E307" s="2"/>
    </row>
    <row r="308" spans="1:5" ht="15.7" customHeight="1" x14ac:dyDescent="0.3">
      <c r="A308" s="2"/>
      <c r="B308" s="2"/>
      <c r="C308" s="2"/>
      <c r="D308" s="2"/>
      <c r="E308" s="2"/>
    </row>
    <row r="309" spans="1:5" ht="15.7" customHeight="1" x14ac:dyDescent="0.3">
      <c r="A309" s="2"/>
      <c r="B309" s="2"/>
      <c r="C309" s="2"/>
      <c r="D309" s="2"/>
      <c r="E309" s="2"/>
    </row>
    <row r="310" spans="1:5" ht="15.7" customHeight="1" x14ac:dyDescent="0.3">
      <c r="A310" s="2"/>
      <c r="B310" s="2"/>
      <c r="C310" s="2"/>
      <c r="D310" s="2"/>
      <c r="E310" s="2"/>
    </row>
    <row r="311" spans="1:5" ht="15.7" customHeight="1" x14ac:dyDescent="0.3">
      <c r="A311" s="2"/>
      <c r="B311" s="2"/>
      <c r="C311" s="2"/>
      <c r="D311" s="2"/>
      <c r="E311" s="2"/>
    </row>
    <row r="312" spans="1:5" ht="15.7" customHeight="1" x14ac:dyDescent="0.3">
      <c r="A312" s="2"/>
      <c r="B312" s="2"/>
      <c r="C312" s="2"/>
      <c r="D312" s="2"/>
      <c r="E312" s="2"/>
    </row>
    <row r="313" spans="1:5" ht="15.7" customHeight="1" x14ac:dyDescent="0.3">
      <c r="A313" s="2"/>
      <c r="B313" s="2"/>
      <c r="C313" s="2"/>
      <c r="D313" s="2"/>
      <c r="E313" s="2"/>
    </row>
    <row r="314" spans="1:5" ht="15.7" customHeight="1" x14ac:dyDescent="0.3">
      <c r="A314" s="2"/>
      <c r="B314" s="2"/>
      <c r="C314" s="2"/>
      <c r="D314" s="2"/>
      <c r="E314" s="2"/>
    </row>
    <row r="315" spans="1:5" ht="15.7" customHeight="1" x14ac:dyDescent="0.3">
      <c r="A315" s="2"/>
      <c r="B315" s="2"/>
      <c r="C315" s="2"/>
      <c r="D315" s="2"/>
      <c r="E315" s="2"/>
    </row>
    <row r="316" spans="1:5" ht="15.7" customHeight="1" x14ac:dyDescent="0.3">
      <c r="A316" s="2"/>
      <c r="B316" s="2"/>
      <c r="C316" s="2"/>
      <c r="D316" s="2"/>
      <c r="E316" s="2"/>
    </row>
    <row r="317" spans="1:5" ht="15.7" customHeight="1" x14ac:dyDescent="0.3">
      <c r="A317" s="2"/>
      <c r="B317" s="2"/>
      <c r="C317" s="2"/>
      <c r="D317" s="2"/>
      <c r="E317" s="2"/>
    </row>
    <row r="318" spans="1:5" ht="15.7" customHeight="1" x14ac:dyDescent="0.3">
      <c r="A318" s="2"/>
      <c r="B318" s="2"/>
      <c r="C318" s="2"/>
      <c r="D318" s="2"/>
      <c r="E318" s="2"/>
    </row>
    <row r="319" spans="1:5" ht="15.7" customHeight="1" x14ac:dyDescent="0.3">
      <c r="A319" s="2"/>
      <c r="B319" s="2"/>
      <c r="C319" s="2"/>
      <c r="D319" s="2"/>
      <c r="E319" s="2"/>
    </row>
    <row r="320" spans="1:5" ht="15.7" customHeight="1" x14ac:dyDescent="0.3">
      <c r="A320" s="2"/>
      <c r="B320" s="2"/>
      <c r="C320" s="2"/>
      <c r="D320" s="2"/>
      <c r="E320" s="2"/>
    </row>
    <row r="321" spans="1:5" ht="15.7" customHeight="1" x14ac:dyDescent="0.3">
      <c r="A321" s="2"/>
      <c r="B321" s="2"/>
      <c r="C321" s="2"/>
      <c r="D321" s="2"/>
      <c r="E321" s="2"/>
    </row>
    <row r="322" spans="1:5" ht="15.7" customHeight="1" x14ac:dyDescent="0.3">
      <c r="A322" s="2"/>
      <c r="B322" s="2"/>
      <c r="C322" s="2"/>
      <c r="D322" s="2"/>
      <c r="E322" s="2"/>
    </row>
    <row r="323" spans="1:5" ht="15.7" customHeight="1" x14ac:dyDescent="0.3">
      <c r="A323" s="2"/>
      <c r="B323" s="2"/>
      <c r="C323" s="2"/>
      <c r="D323" s="2"/>
      <c r="E323" s="2"/>
    </row>
    <row r="324" spans="1:5" ht="15.7" customHeight="1" x14ac:dyDescent="0.3">
      <c r="A324" s="2"/>
      <c r="B324" s="2"/>
      <c r="C324" s="2"/>
      <c r="D324" s="2"/>
      <c r="E324" s="2"/>
    </row>
    <row r="325" spans="1:5" ht="15.7" customHeight="1" x14ac:dyDescent="0.3">
      <c r="A325" s="2"/>
      <c r="B325" s="2"/>
      <c r="C325" s="2"/>
      <c r="D325" s="2"/>
      <c r="E325" s="2"/>
    </row>
    <row r="326" spans="1:5" ht="15.7" customHeight="1" x14ac:dyDescent="0.3">
      <c r="A326" s="2"/>
      <c r="B326" s="2"/>
      <c r="C326" s="2"/>
      <c r="D326" s="2"/>
      <c r="E326" s="2"/>
    </row>
    <row r="327" spans="1:5" ht="15.7" customHeight="1" x14ac:dyDescent="0.3">
      <c r="A327" s="2"/>
      <c r="B327" s="2"/>
      <c r="C327" s="2"/>
      <c r="D327" s="2"/>
      <c r="E327" s="2"/>
    </row>
    <row r="328" spans="1:5" ht="15.7" customHeight="1" x14ac:dyDescent="0.3">
      <c r="A328" s="2"/>
      <c r="B328" s="2"/>
      <c r="C328" s="2"/>
      <c r="D328" s="2"/>
      <c r="E328" s="2"/>
    </row>
    <row r="329" spans="1:5" ht="15.7" customHeight="1" x14ac:dyDescent="0.3">
      <c r="A329" s="2"/>
      <c r="B329" s="2"/>
      <c r="C329" s="2"/>
      <c r="D329" s="2"/>
      <c r="E329" s="2"/>
    </row>
    <row r="330" spans="1:5" ht="15.7" customHeight="1" x14ac:dyDescent="0.3">
      <c r="A330" s="2"/>
      <c r="B330" s="2"/>
      <c r="C330" s="2"/>
      <c r="D330" s="2"/>
      <c r="E330" s="2"/>
    </row>
    <row r="331" spans="1:5" ht="15.7" customHeight="1" x14ac:dyDescent="0.3">
      <c r="A331" s="2"/>
      <c r="B331" s="2"/>
      <c r="C331" s="2"/>
      <c r="D331" s="2"/>
      <c r="E331" s="2"/>
    </row>
    <row r="332" spans="1:5" ht="15.7" customHeight="1" x14ac:dyDescent="0.3">
      <c r="A332" s="2"/>
      <c r="B332" s="2"/>
      <c r="C332" s="2"/>
      <c r="D332" s="2"/>
      <c r="E332" s="2"/>
    </row>
    <row r="333" spans="1:5" ht="15.7" customHeight="1" x14ac:dyDescent="0.3">
      <c r="A333" s="2"/>
      <c r="B333" s="2"/>
      <c r="C333" s="2"/>
      <c r="D333" s="2"/>
      <c r="E333" s="2"/>
    </row>
    <row r="334" spans="1:5" ht="15.7" customHeight="1" x14ac:dyDescent="0.3">
      <c r="A334" s="2"/>
      <c r="B334" s="2"/>
      <c r="C334" s="2"/>
      <c r="D334" s="2"/>
      <c r="E334" s="2"/>
    </row>
    <row r="335" spans="1:5" ht="15.7" customHeight="1" x14ac:dyDescent="0.3">
      <c r="A335" s="2"/>
      <c r="B335" s="2"/>
      <c r="C335" s="2"/>
      <c r="D335" s="2"/>
      <c r="E335" s="2"/>
    </row>
    <row r="336" spans="1:5" ht="15.7" customHeight="1" x14ac:dyDescent="0.3">
      <c r="A336" s="2"/>
      <c r="B336" s="2"/>
      <c r="C336" s="2"/>
      <c r="D336" s="2"/>
      <c r="E336" s="2"/>
    </row>
    <row r="337" spans="1:5" ht="15.7" customHeight="1" x14ac:dyDescent="0.3">
      <c r="A337" s="2"/>
      <c r="B337" s="2"/>
      <c r="C337" s="2"/>
      <c r="D337" s="2"/>
      <c r="E337" s="2"/>
    </row>
    <row r="338" spans="1:5" ht="15.7" customHeight="1" x14ac:dyDescent="0.3">
      <c r="A338" s="2"/>
      <c r="B338" s="2"/>
      <c r="C338" s="2"/>
      <c r="D338" s="2"/>
      <c r="E338" s="2"/>
    </row>
    <row r="339" spans="1:5" ht="15.7" customHeight="1" x14ac:dyDescent="0.3">
      <c r="A339" s="2"/>
      <c r="B339" s="2"/>
      <c r="C339" s="2"/>
      <c r="D339" s="2"/>
      <c r="E339" s="2"/>
    </row>
    <row r="340" spans="1:5" ht="15.7" customHeight="1" x14ac:dyDescent="0.3">
      <c r="A340" s="2"/>
      <c r="B340" s="2"/>
      <c r="C340" s="2"/>
      <c r="D340" s="2"/>
      <c r="E340" s="2"/>
    </row>
    <row r="341" spans="1:5" ht="15.7" customHeight="1" x14ac:dyDescent="0.3">
      <c r="A341" s="2"/>
      <c r="B341" s="2"/>
      <c r="C341" s="2"/>
      <c r="D341" s="2"/>
      <c r="E341" s="2"/>
    </row>
    <row r="342" spans="1:5" ht="15.7" customHeight="1" x14ac:dyDescent="0.3">
      <c r="A342" s="2"/>
      <c r="B342" s="2"/>
      <c r="C342" s="2"/>
      <c r="D342" s="2"/>
      <c r="E342" s="2"/>
    </row>
    <row r="343" spans="1:5" ht="15.7" customHeight="1" x14ac:dyDescent="0.3">
      <c r="A343" s="2"/>
      <c r="B343" s="2"/>
      <c r="C343" s="2"/>
      <c r="D343" s="2"/>
      <c r="E343" s="2"/>
    </row>
    <row r="344" spans="1:5" ht="15.7" customHeight="1" x14ac:dyDescent="0.3">
      <c r="A344" s="2"/>
      <c r="B344" s="2"/>
      <c r="C344" s="2"/>
      <c r="D344" s="2"/>
      <c r="E344" s="2"/>
    </row>
    <row r="345" spans="1:5" ht="15.7" customHeight="1" x14ac:dyDescent="0.3">
      <c r="A345" s="2"/>
      <c r="B345" s="2"/>
      <c r="C345" s="2"/>
      <c r="D345" s="2"/>
      <c r="E345" s="2"/>
    </row>
    <row r="346" spans="1:5" ht="15.7" customHeight="1" x14ac:dyDescent="0.3">
      <c r="A346" s="2"/>
      <c r="B346" s="2"/>
      <c r="C346" s="2"/>
      <c r="D346" s="2"/>
      <c r="E346" s="2"/>
    </row>
    <row r="347" spans="1:5" ht="15.7" customHeight="1" x14ac:dyDescent="0.3">
      <c r="A347" s="2"/>
      <c r="B347" s="2"/>
      <c r="C347" s="2"/>
      <c r="D347" s="2"/>
      <c r="E347" s="2"/>
    </row>
    <row r="348" spans="1:5" ht="15.7" customHeight="1" x14ac:dyDescent="0.3">
      <c r="A348" s="2"/>
      <c r="B348" s="2"/>
      <c r="C348" s="2"/>
      <c r="D348" s="2"/>
      <c r="E348" s="2"/>
    </row>
    <row r="349" spans="1:5" ht="15.7" customHeight="1" x14ac:dyDescent="0.3">
      <c r="A349" s="2"/>
      <c r="B349" s="2"/>
      <c r="C349" s="2"/>
      <c r="D349" s="2"/>
      <c r="E349" s="2"/>
    </row>
    <row r="350" spans="1:5" ht="15.7" customHeight="1" x14ac:dyDescent="0.3">
      <c r="A350" s="2"/>
      <c r="B350" s="2"/>
      <c r="C350" s="2"/>
      <c r="D350" s="2"/>
      <c r="E350" s="2"/>
    </row>
    <row r="351" spans="1:5" ht="15.7" customHeight="1" x14ac:dyDescent="0.3">
      <c r="A351" s="2"/>
      <c r="B351" s="2"/>
      <c r="C351" s="2"/>
      <c r="D351" s="2"/>
      <c r="E351" s="2"/>
    </row>
    <row r="352" spans="1:5" ht="15.7" customHeight="1" x14ac:dyDescent="0.3">
      <c r="A352" s="2"/>
      <c r="B352" s="2"/>
      <c r="C352" s="2"/>
      <c r="D352" s="2"/>
      <c r="E352" s="2"/>
    </row>
    <row r="353" spans="1:5" ht="15.7" customHeight="1" x14ac:dyDescent="0.3">
      <c r="A353" s="2"/>
      <c r="B353" s="2"/>
      <c r="C353" s="2"/>
      <c r="D353" s="2"/>
      <c r="E353" s="2"/>
    </row>
    <row r="354" spans="1:5" ht="15.7" customHeight="1" x14ac:dyDescent="0.3">
      <c r="A354" s="2"/>
      <c r="B354" s="2"/>
      <c r="C354" s="2"/>
      <c r="D354" s="2"/>
      <c r="E354" s="2"/>
    </row>
    <row r="355" spans="1:5" ht="15.7" customHeight="1" x14ac:dyDescent="0.3">
      <c r="A355" s="2"/>
      <c r="B355" s="2"/>
      <c r="C355" s="2"/>
      <c r="D355" s="2"/>
      <c r="E355" s="2"/>
    </row>
    <row r="356" spans="1:5" ht="15.7" customHeight="1" x14ac:dyDescent="0.3">
      <c r="A356" s="2"/>
      <c r="B356" s="2"/>
      <c r="C356" s="2"/>
      <c r="D356" s="2"/>
      <c r="E356" s="2"/>
    </row>
    <row r="357" spans="1:5" ht="15.7" customHeight="1" x14ac:dyDescent="0.3">
      <c r="A357" s="2"/>
      <c r="B357" s="2"/>
      <c r="C357" s="2"/>
      <c r="D357" s="2"/>
      <c r="E357" s="2"/>
    </row>
    <row r="358" spans="1:5" ht="15.7" customHeight="1" x14ac:dyDescent="0.3">
      <c r="A358" s="2"/>
      <c r="B358" s="2"/>
      <c r="C358" s="2"/>
      <c r="D358" s="2"/>
      <c r="E358" s="2"/>
    </row>
    <row r="359" spans="1:5" ht="15.7" customHeight="1" x14ac:dyDescent="0.3">
      <c r="A359" s="2"/>
      <c r="B359" s="2"/>
      <c r="C359" s="2"/>
      <c r="D359" s="2"/>
      <c r="E359" s="2"/>
    </row>
    <row r="360" spans="1:5" ht="15.7" customHeight="1" x14ac:dyDescent="0.3">
      <c r="A360" s="2"/>
      <c r="B360" s="2"/>
      <c r="C360" s="2"/>
      <c r="D360" s="2"/>
      <c r="E360" s="2"/>
    </row>
    <row r="361" spans="1:5" ht="15.7" customHeight="1" x14ac:dyDescent="0.3">
      <c r="A361" s="2"/>
      <c r="B361" s="2"/>
      <c r="C361" s="2"/>
      <c r="D361" s="2"/>
      <c r="E361" s="2"/>
    </row>
    <row r="362" spans="1:5" ht="15.7" customHeight="1" x14ac:dyDescent="0.3">
      <c r="A362" s="2"/>
      <c r="B362" s="2"/>
      <c r="C362" s="2"/>
      <c r="D362" s="2"/>
      <c r="E362" s="2"/>
    </row>
    <row r="363" spans="1:5" ht="15.7" customHeight="1" x14ac:dyDescent="0.3">
      <c r="A363" s="2"/>
      <c r="B363" s="2"/>
      <c r="C363" s="2"/>
      <c r="D363" s="2"/>
      <c r="E363" s="2"/>
    </row>
    <row r="364" spans="1:5" ht="15.7" customHeight="1" x14ac:dyDescent="0.3">
      <c r="A364" s="2"/>
      <c r="B364" s="2"/>
      <c r="C364" s="2"/>
      <c r="D364" s="2"/>
      <c r="E364" s="2"/>
    </row>
    <row r="365" spans="1:5" ht="15.7" customHeight="1" x14ac:dyDescent="0.3">
      <c r="A365" s="2"/>
      <c r="B365" s="2"/>
      <c r="C365" s="2"/>
      <c r="D365" s="2"/>
      <c r="E365" s="2"/>
    </row>
    <row r="366" spans="1:5" ht="15.7" customHeight="1" x14ac:dyDescent="0.3">
      <c r="A366" s="2"/>
      <c r="B366" s="2"/>
      <c r="C366" s="2"/>
      <c r="D366" s="2"/>
      <c r="E366" s="2"/>
    </row>
    <row r="367" spans="1:5" ht="15.7" customHeight="1" x14ac:dyDescent="0.3">
      <c r="A367" s="2"/>
      <c r="B367" s="2"/>
      <c r="C367" s="2"/>
      <c r="D367" s="2"/>
      <c r="E367" s="2"/>
    </row>
    <row r="368" spans="1:5" ht="15.7" customHeight="1" x14ac:dyDescent="0.3">
      <c r="A368" s="2"/>
      <c r="B368" s="2"/>
      <c r="C368" s="2"/>
      <c r="D368" s="2"/>
      <c r="E368" s="2"/>
    </row>
    <row r="369" spans="1:5" ht="15.7" customHeight="1" x14ac:dyDescent="0.3">
      <c r="A369" s="2"/>
      <c r="B369" s="2"/>
      <c r="C369" s="2"/>
      <c r="D369" s="2"/>
      <c r="E369" s="2"/>
    </row>
    <row r="370" spans="1:5" ht="15.7" customHeight="1" x14ac:dyDescent="0.3">
      <c r="A370" s="2"/>
      <c r="B370" s="2"/>
      <c r="C370" s="2"/>
      <c r="D370" s="2"/>
      <c r="E370" s="2"/>
    </row>
    <row r="371" spans="1:5" ht="15.7" customHeight="1" x14ac:dyDescent="0.3">
      <c r="A371" s="2"/>
      <c r="B371" s="2"/>
      <c r="C371" s="2"/>
      <c r="D371" s="2"/>
      <c r="E371" s="2"/>
    </row>
    <row r="372" spans="1:5" ht="15.7" customHeight="1" x14ac:dyDescent="0.3">
      <c r="A372" s="2"/>
      <c r="B372" s="2"/>
      <c r="C372" s="2"/>
      <c r="D372" s="2"/>
      <c r="E372" s="2"/>
    </row>
    <row r="373" spans="1:5" ht="15.7" customHeight="1" x14ac:dyDescent="0.3">
      <c r="A373" s="2"/>
      <c r="B373" s="2"/>
      <c r="C373" s="2"/>
      <c r="D373" s="2"/>
      <c r="E373" s="2"/>
    </row>
    <row r="374" spans="1:5" ht="15.7" customHeight="1" x14ac:dyDescent="0.3">
      <c r="A374" s="2"/>
      <c r="B374" s="2"/>
      <c r="C374" s="2"/>
      <c r="D374" s="2"/>
      <c r="E374" s="2"/>
    </row>
    <row r="375" spans="1:5" ht="15.7" customHeight="1" x14ac:dyDescent="0.3">
      <c r="A375" s="2"/>
      <c r="B375" s="2"/>
      <c r="C375" s="2"/>
      <c r="D375" s="2"/>
      <c r="E375" s="2"/>
    </row>
    <row r="376" spans="1:5" ht="15.7" customHeight="1" x14ac:dyDescent="0.3">
      <c r="A376" s="2"/>
      <c r="B376" s="2"/>
      <c r="C376" s="2"/>
      <c r="D376" s="2"/>
      <c r="E376" s="2"/>
    </row>
    <row r="377" spans="1:5" ht="15.7" customHeight="1" x14ac:dyDescent="0.3">
      <c r="A377" s="2"/>
      <c r="B377" s="2"/>
      <c r="C377" s="2"/>
      <c r="D377" s="2"/>
      <c r="E377" s="2"/>
    </row>
    <row r="378" spans="1:5" ht="15.7" customHeight="1" x14ac:dyDescent="0.3">
      <c r="A378" s="2"/>
      <c r="B378" s="2"/>
      <c r="C378" s="2"/>
      <c r="D378" s="2"/>
      <c r="E378" s="2"/>
    </row>
    <row r="379" spans="1:5" ht="15.7" customHeight="1" x14ac:dyDescent="0.3">
      <c r="A379" s="2"/>
      <c r="B379" s="2"/>
      <c r="C379" s="2"/>
      <c r="D379" s="2"/>
      <c r="E379" s="2"/>
    </row>
    <row r="380" spans="1:5" ht="15.7" customHeight="1" x14ac:dyDescent="0.3">
      <c r="A380" s="2"/>
      <c r="B380" s="2"/>
      <c r="C380" s="2"/>
      <c r="D380" s="2"/>
      <c r="E380" s="2"/>
    </row>
    <row r="381" spans="1:5" ht="15.7" customHeight="1" x14ac:dyDescent="0.3">
      <c r="A381" s="2"/>
      <c r="B381" s="2"/>
      <c r="C381" s="2"/>
      <c r="D381" s="2"/>
      <c r="E381" s="2"/>
    </row>
    <row r="382" spans="1:5" ht="15.7" customHeight="1" x14ac:dyDescent="0.3">
      <c r="A382" s="2"/>
      <c r="B382" s="2"/>
      <c r="C382" s="2"/>
      <c r="D382" s="2"/>
      <c r="E382" s="2"/>
    </row>
    <row r="383" spans="1:5" ht="15.7" customHeight="1" x14ac:dyDescent="0.3">
      <c r="A383" s="2"/>
      <c r="B383" s="2"/>
      <c r="C383" s="2"/>
      <c r="D383" s="2"/>
      <c r="E383" s="2"/>
    </row>
    <row r="384" spans="1:5" ht="15.7" customHeight="1" x14ac:dyDescent="0.3">
      <c r="A384" s="2"/>
      <c r="B384" s="2"/>
      <c r="C384" s="2"/>
      <c r="D384" s="2"/>
      <c r="E384" s="2"/>
    </row>
    <row r="385" spans="1:5" ht="15.7" customHeight="1" x14ac:dyDescent="0.3">
      <c r="A385" s="2"/>
      <c r="B385" s="2"/>
      <c r="C385" s="2"/>
      <c r="D385" s="2"/>
      <c r="E385" s="2"/>
    </row>
    <row r="386" spans="1:5" ht="15.7" customHeight="1" x14ac:dyDescent="0.3">
      <c r="A386" s="2"/>
      <c r="B386" s="2"/>
      <c r="C386" s="2"/>
      <c r="D386" s="2"/>
      <c r="E386" s="2"/>
    </row>
    <row r="387" spans="1:5" ht="15.7" customHeight="1" x14ac:dyDescent="0.3">
      <c r="A387" s="2"/>
      <c r="B387" s="2"/>
      <c r="C387" s="2"/>
      <c r="D387" s="2"/>
      <c r="E387" s="2"/>
    </row>
    <row r="388" spans="1:5" ht="15.7" customHeight="1" x14ac:dyDescent="0.3">
      <c r="A388" s="2"/>
      <c r="B388" s="2"/>
      <c r="C388" s="2"/>
      <c r="D388" s="2"/>
      <c r="E388" s="2"/>
    </row>
    <row r="389" spans="1:5" ht="15.7" customHeight="1" x14ac:dyDescent="0.3">
      <c r="A389" s="2"/>
      <c r="B389" s="2"/>
      <c r="C389" s="2"/>
      <c r="D389" s="2"/>
      <c r="E389" s="2"/>
    </row>
    <row r="390" spans="1:5" ht="15.7" customHeight="1" x14ac:dyDescent="0.3">
      <c r="A390" s="2"/>
      <c r="B390" s="2"/>
      <c r="C390" s="2"/>
      <c r="D390" s="2"/>
      <c r="E390" s="2"/>
    </row>
    <row r="391" spans="1:5" ht="15.7" customHeight="1" x14ac:dyDescent="0.3">
      <c r="A391" s="2"/>
      <c r="B391" s="2"/>
      <c r="C391" s="2"/>
      <c r="D391" s="2"/>
      <c r="E391" s="2"/>
    </row>
    <row r="392" spans="1:5" ht="15.7" customHeight="1" x14ac:dyDescent="0.3">
      <c r="A392" s="2"/>
      <c r="B392" s="2"/>
      <c r="C392" s="2"/>
      <c r="D392" s="2"/>
      <c r="E392" s="2"/>
    </row>
    <row r="393" spans="1:5" ht="15.7" customHeight="1" x14ac:dyDescent="0.3">
      <c r="A393" s="2"/>
      <c r="B393" s="2"/>
      <c r="C393" s="2"/>
      <c r="D393" s="2"/>
      <c r="E393" s="2"/>
    </row>
    <row r="394" spans="1:5" ht="15.7" customHeight="1" x14ac:dyDescent="0.3">
      <c r="A394" s="2"/>
      <c r="B394" s="2"/>
      <c r="C394" s="2"/>
      <c r="D394" s="2"/>
      <c r="E394" s="2"/>
    </row>
    <row r="395" spans="1:5" ht="15.7" customHeight="1" x14ac:dyDescent="0.3">
      <c r="A395" s="2"/>
      <c r="B395" s="2"/>
      <c r="C395" s="2"/>
      <c r="D395" s="2"/>
      <c r="E395" s="2"/>
    </row>
    <row r="396" spans="1:5" ht="15.7" customHeight="1" x14ac:dyDescent="0.3">
      <c r="A396" s="2"/>
      <c r="B396" s="2"/>
      <c r="C396" s="2"/>
      <c r="D396" s="2"/>
      <c r="E396" s="2"/>
    </row>
    <row r="397" spans="1:5" ht="15.7" customHeight="1" x14ac:dyDescent="0.3">
      <c r="A397" s="2"/>
      <c r="B397" s="2"/>
      <c r="C397" s="2"/>
      <c r="D397" s="2"/>
      <c r="E397" s="2"/>
    </row>
    <row r="398" spans="1:5" ht="15.7" customHeight="1" x14ac:dyDescent="0.3">
      <c r="A398" s="2"/>
      <c r="B398" s="2"/>
      <c r="C398" s="2"/>
      <c r="D398" s="2"/>
      <c r="E398" s="2"/>
    </row>
    <row r="399" spans="1:5" ht="15.7" customHeight="1" x14ac:dyDescent="0.3">
      <c r="A399" s="2"/>
      <c r="B399" s="2"/>
      <c r="C399" s="2"/>
      <c r="D399" s="2"/>
      <c r="E399" s="2"/>
    </row>
    <row r="400" spans="1:5" ht="15.7" customHeight="1" x14ac:dyDescent="0.3">
      <c r="A400" s="2"/>
      <c r="B400" s="2"/>
      <c r="C400" s="2"/>
      <c r="D400" s="2"/>
      <c r="E400" s="2"/>
    </row>
    <row r="401" spans="1:5" ht="15.7" customHeight="1" x14ac:dyDescent="0.3">
      <c r="A401" s="2"/>
      <c r="B401" s="2"/>
      <c r="C401" s="2"/>
      <c r="D401" s="2"/>
      <c r="E401" s="2"/>
    </row>
    <row r="402" spans="1:5" ht="15.7" customHeight="1" x14ac:dyDescent="0.3">
      <c r="A402" s="2"/>
      <c r="B402" s="2"/>
      <c r="C402" s="2"/>
      <c r="D402" s="2"/>
      <c r="E402" s="2"/>
    </row>
    <row r="403" spans="1:5" ht="15.7" customHeight="1" x14ac:dyDescent="0.3">
      <c r="A403" s="2"/>
      <c r="B403" s="2"/>
      <c r="C403" s="2"/>
      <c r="D403" s="2"/>
      <c r="E403" s="2"/>
    </row>
    <row r="404" spans="1:5" ht="15.7" customHeight="1" x14ac:dyDescent="0.3">
      <c r="A404" s="2"/>
      <c r="B404" s="2"/>
      <c r="C404" s="2"/>
      <c r="D404" s="2"/>
      <c r="E404" s="2"/>
    </row>
    <row r="405" spans="1:5" ht="15.7" customHeight="1" x14ac:dyDescent="0.3">
      <c r="A405" s="2"/>
      <c r="B405" s="2"/>
      <c r="C405" s="2"/>
      <c r="D405" s="2"/>
      <c r="E405" s="2"/>
    </row>
    <row r="406" spans="1:5" ht="15.7" customHeight="1" x14ac:dyDescent="0.3">
      <c r="A406" s="2"/>
      <c r="B406" s="2"/>
      <c r="C406" s="2"/>
      <c r="D406" s="2"/>
      <c r="E406" s="2"/>
    </row>
    <row r="407" spans="1:5" ht="15.7" customHeight="1" x14ac:dyDescent="0.3">
      <c r="A407" s="2"/>
      <c r="B407" s="2"/>
      <c r="C407" s="2"/>
      <c r="D407" s="2"/>
      <c r="E407" s="2"/>
    </row>
    <row r="408" spans="1:5" ht="15.7" customHeight="1" x14ac:dyDescent="0.3">
      <c r="A408" s="2"/>
      <c r="B408" s="2"/>
      <c r="C408" s="2"/>
      <c r="D408" s="2"/>
      <c r="E408" s="2"/>
    </row>
    <row r="409" spans="1:5" ht="15.7" customHeight="1" x14ac:dyDescent="0.3">
      <c r="A409" s="2"/>
      <c r="B409" s="2"/>
      <c r="C409" s="2"/>
      <c r="D409" s="2"/>
      <c r="E409" s="2"/>
    </row>
    <row r="410" spans="1:5" ht="15.7" customHeight="1" x14ac:dyDescent="0.3">
      <c r="A410" s="2"/>
      <c r="B410" s="2"/>
      <c r="C410" s="2"/>
      <c r="D410" s="2"/>
      <c r="E410" s="2"/>
    </row>
    <row r="411" spans="1:5" ht="15.7" customHeight="1" x14ac:dyDescent="0.3">
      <c r="A411" s="2"/>
      <c r="B411" s="2"/>
      <c r="C411" s="2"/>
      <c r="D411" s="2"/>
      <c r="E411" s="2"/>
    </row>
    <row r="412" spans="1:5" ht="15.7" customHeight="1" x14ac:dyDescent="0.3">
      <c r="A412" s="2"/>
      <c r="B412" s="2"/>
      <c r="C412" s="2"/>
      <c r="D412" s="2"/>
      <c r="E412" s="2"/>
    </row>
    <row r="413" spans="1:5" ht="15.7" customHeight="1" x14ac:dyDescent="0.3">
      <c r="A413" s="2"/>
      <c r="B413" s="2"/>
      <c r="C413" s="2"/>
      <c r="D413" s="2"/>
      <c r="E413" s="2"/>
    </row>
    <row r="414" spans="1:5" ht="15.7" customHeight="1" x14ac:dyDescent="0.3">
      <c r="A414" s="2"/>
      <c r="B414" s="2"/>
      <c r="C414" s="2"/>
      <c r="D414" s="2"/>
      <c r="E414" s="2"/>
    </row>
    <row r="415" spans="1:5" ht="15.7" customHeight="1" x14ac:dyDescent="0.3">
      <c r="A415" s="2"/>
      <c r="B415" s="2"/>
      <c r="C415" s="2"/>
      <c r="D415" s="2"/>
      <c r="E415" s="2"/>
    </row>
    <row r="416" spans="1:5" ht="15.7" customHeight="1" x14ac:dyDescent="0.3">
      <c r="A416" s="2"/>
      <c r="B416" s="2"/>
      <c r="C416" s="2"/>
      <c r="D416" s="2"/>
      <c r="E416" s="2"/>
    </row>
    <row r="417" spans="1:5" ht="15.7" customHeight="1" x14ac:dyDescent="0.3">
      <c r="A417" s="2"/>
      <c r="B417" s="2"/>
      <c r="C417" s="2"/>
      <c r="D417" s="2"/>
      <c r="E417" s="2"/>
    </row>
    <row r="418" spans="1:5" ht="15.7" customHeight="1" x14ac:dyDescent="0.3">
      <c r="A418" s="2"/>
      <c r="B418" s="2"/>
      <c r="C418" s="2"/>
      <c r="D418" s="2"/>
      <c r="E418" s="2"/>
    </row>
    <row r="419" spans="1:5" ht="15.7" customHeight="1" x14ac:dyDescent="0.3">
      <c r="A419" s="2"/>
      <c r="B419" s="2"/>
      <c r="C419" s="2"/>
      <c r="D419" s="2"/>
      <c r="E419" s="2"/>
    </row>
    <row r="420" spans="1:5" ht="15.7" customHeight="1" x14ac:dyDescent="0.3">
      <c r="A420" s="2"/>
      <c r="B420" s="2"/>
      <c r="C420" s="2"/>
      <c r="D420" s="2"/>
      <c r="E420" s="2"/>
    </row>
    <row r="421" spans="1:5" ht="15.7" customHeight="1" x14ac:dyDescent="0.3">
      <c r="A421" s="2"/>
      <c r="B421" s="2"/>
      <c r="C421" s="2"/>
      <c r="D421" s="2"/>
      <c r="E421" s="2"/>
    </row>
    <row r="422" spans="1:5" ht="15.7" customHeight="1" x14ac:dyDescent="0.3">
      <c r="A422" s="2"/>
      <c r="B422" s="2"/>
      <c r="C422" s="2"/>
      <c r="D422" s="2"/>
      <c r="E422" s="2"/>
    </row>
    <row r="423" spans="1:5" ht="15.7" customHeight="1" x14ac:dyDescent="0.3">
      <c r="A423" s="2"/>
      <c r="B423" s="2"/>
      <c r="C423" s="2"/>
      <c r="D423" s="2"/>
      <c r="E423" s="2"/>
    </row>
    <row r="424" spans="1:5" ht="15.7" customHeight="1" x14ac:dyDescent="0.3">
      <c r="A424" s="2"/>
      <c r="B424" s="2"/>
      <c r="C424" s="2"/>
      <c r="D424" s="2"/>
      <c r="E424" s="2"/>
    </row>
    <row r="425" spans="1:5" ht="15.7" customHeight="1" x14ac:dyDescent="0.3">
      <c r="A425" s="2"/>
      <c r="B425" s="2"/>
      <c r="C425" s="2"/>
      <c r="D425" s="2"/>
      <c r="E425" s="2"/>
    </row>
    <row r="426" spans="1:5" ht="15.7" customHeight="1" x14ac:dyDescent="0.3">
      <c r="A426" s="2"/>
      <c r="B426" s="2"/>
      <c r="C426" s="2"/>
      <c r="D426" s="2"/>
      <c r="E426" s="2"/>
    </row>
    <row r="427" spans="1:5" ht="15.7" customHeight="1" x14ac:dyDescent="0.3">
      <c r="A427" s="2"/>
      <c r="B427" s="2"/>
      <c r="C427" s="2"/>
      <c r="D427" s="2"/>
      <c r="E427" s="2"/>
    </row>
    <row r="428" spans="1:5" ht="15.7" customHeight="1" x14ac:dyDescent="0.3">
      <c r="A428" s="2"/>
      <c r="B428" s="2"/>
      <c r="C428" s="2"/>
      <c r="D428" s="2"/>
      <c r="E428" s="2"/>
    </row>
    <row r="429" spans="1:5" ht="15.7" customHeight="1" x14ac:dyDescent="0.3">
      <c r="A429" s="2"/>
      <c r="B429" s="2"/>
      <c r="C429" s="2"/>
      <c r="D429" s="2"/>
      <c r="E429" s="2"/>
    </row>
    <row r="430" spans="1:5" ht="15.7" customHeight="1" x14ac:dyDescent="0.3">
      <c r="A430" s="2"/>
      <c r="B430" s="2"/>
      <c r="C430" s="2"/>
      <c r="D430" s="2"/>
      <c r="E430" s="2"/>
    </row>
    <row r="431" spans="1:5" ht="15.7" customHeight="1" x14ac:dyDescent="0.3">
      <c r="A431" s="2"/>
      <c r="B431" s="2"/>
      <c r="C431" s="2"/>
      <c r="D431" s="2"/>
      <c r="E431" s="2"/>
    </row>
    <row r="432" spans="1:5" ht="15.7" customHeight="1" x14ac:dyDescent="0.3">
      <c r="A432" s="2"/>
      <c r="B432" s="2"/>
      <c r="C432" s="2"/>
      <c r="D432" s="2"/>
      <c r="E432" s="2"/>
    </row>
    <row r="433" spans="1:5" ht="15.7" customHeight="1" x14ac:dyDescent="0.3">
      <c r="A433" s="2"/>
      <c r="B433" s="2"/>
      <c r="C433" s="2"/>
      <c r="D433" s="2"/>
      <c r="E433" s="2"/>
    </row>
    <row r="434" spans="1:5" ht="15.7" customHeight="1" x14ac:dyDescent="0.3">
      <c r="A434" s="2"/>
      <c r="B434" s="2"/>
      <c r="C434" s="2"/>
      <c r="D434" s="2"/>
      <c r="E434" s="2"/>
    </row>
    <row r="435" spans="1:5" ht="15.7" customHeight="1" x14ac:dyDescent="0.3">
      <c r="A435" s="2"/>
      <c r="B435" s="2"/>
      <c r="C435" s="2"/>
      <c r="D435" s="2"/>
      <c r="E435" s="2"/>
    </row>
    <row r="436" spans="1:5" ht="15.7" customHeight="1" x14ac:dyDescent="0.3">
      <c r="A436" s="2"/>
      <c r="B436" s="2"/>
      <c r="C436" s="2"/>
      <c r="D436" s="2"/>
      <c r="E436" s="2"/>
    </row>
    <row r="437" spans="1:5" ht="15.7" customHeight="1" x14ac:dyDescent="0.3">
      <c r="A437" s="2"/>
      <c r="B437" s="2"/>
      <c r="C437" s="2"/>
      <c r="D437" s="2"/>
      <c r="E437" s="2"/>
    </row>
    <row r="438" spans="1:5" ht="15.7" customHeight="1" x14ac:dyDescent="0.3">
      <c r="A438" s="2"/>
      <c r="B438" s="2"/>
      <c r="C438" s="2"/>
      <c r="D438" s="2"/>
      <c r="E438" s="2"/>
    </row>
    <row r="439" spans="1:5" ht="15.7" customHeight="1" x14ac:dyDescent="0.3">
      <c r="A439" s="2"/>
      <c r="B439" s="2"/>
      <c r="C439" s="2"/>
      <c r="D439" s="2"/>
      <c r="E439" s="2"/>
    </row>
    <row r="440" spans="1:5" ht="15.7" customHeight="1" x14ac:dyDescent="0.3">
      <c r="A440" s="2"/>
      <c r="B440" s="2"/>
      <c r="C440" s="2"/>
      <c r="D440" s="2"/>
      <c r="E440" s="2"/>
    </row>
    <row r="441" spans="1:5" ht="15.7" customHeight="1" x14ac:dyDescent="0.3">
      <c r="A441" s="2"/>
      <c r="B441" s="2"/>
      <c r="C441" s="2"/>
      <c r="D441" s="2"/>
      <c r="E441" s="2"/>
    </row>
    <row r="442" spans="1:5" ht="15.7" customHeight="1" x14ac:dyDescent="0.3">
      <c r="A442" s="2"/>
      <c r="B442" s="2"/>
      <c r="C442" s="2"/>
      <c r="D442" s="2"/>
      <c r="E442" s="2"/>
    </row>
    <row r="443" spans="1:5" ht="15.7" customHeight="1" x14ac:dyDescent="0.3">
      <c r="A443" s="2"/>
      <c r="B443" s="2"/>
      <c r="C443" s="2"/>
      <c r="D443" s="2"/>
      <c r="E443" s="2"/>
    </row>
    <row r="444" spans="1:5" ht="15.7" customHeight="1" x14ac:dyDescent="0.3">
      <c r="A444" s="2"/>
      <c r="B444" s="2"/>
      <c r="C444" s="2"/>
      <c r="D444" s="2"/>
      <c r="E444" s="2"/>
    </row>
    <row r="445" spans="1:5" ht="15.7" customHeight="1" x14ac:dyDescent="0.3">
      <c r="A445" s="2"/>
      <c r="B445" s="2"/>
      <c r="C445" s="2"/>
      <c r="D445" s="2"/>
      <c r="E445" s="2"/>
    </row>
    <row r="446" spans="1:5" ht="15.7" customHeight="1" x14ac:dyDescent="0.3">
      <c r="A446" s="2"/>
      <c r="B446" s="2"/>
      <c r="C446" s="2"/>
      <c r="D446" s="2"/>
      <c r="E446" s="2"/>
    </row>
    <row r="447" spans="1:5" ht="15.7" customHeight="1" x14ac:dyDescent="0.3">
      <c r="A447" s="2"/>
      <c r="B447" s="2"/>
      <c r="C447" s="2"/>
      <c r="D447" s="2"/>
      <c r="E447" s="2"/>
    </row>
    <row r="448" spans="1:5" ht="15.7" customHeight="1" x14ac:dyDescent="0.3">
      <c r="A448" s="2"/>
      <c r="B448" s="2"/>
      <c r="C448" s="2"/>
      <c r="D448" s="2"/>
      <c r="E448" s="2"/>
    </row>
    <row r="449" spans="1:5" ht="15.7" customHeight="1" x14ac:dyDescent="0.3">
      <c r="A449" s="2"/>
      <c r="B449" s="2"/>
      <c r="C449" s="2"/>
      <c r="D449" s="2"/>
      <c r="E449" s="2"/>
    </row>
    <row r="450" spans="1:5" ht="15.7" customHeight="1" x14ac:dyDescent="0.3">
      <c r="A450" s="2"/>
      <c r="B450" s="2"/>
      <c r="C450" s="2"/>
      <c r="D450" s="2"/>
      <c r="E450" s="2"/>
    </row>
    <row r="451" spans="1:5" ht="15.7" customHeight="1" x14ac:dyDescent="0.3">
      <c r="A451" s="2"/>
      <c r="B451" s="2"/>
      <c r="C451" s="2"/>
      <c r="D451" s="2"/>
      <c r="E451" s="2"/>
    </row>
    <row r="452" spans="1:5" ht="15.7" customHeight="1" x14ac:dyDescent="0.3">
      <c r="A452" s="2"/>
      <c r="B452" s="2"/>
      <c r="C452" s="2"/>
      <c r="D452" s="2"/>
      <c r="E452" s="2"/>
    </row>
    <row r="453" spans="1:5" ht="15.7" customHeight="1" x14ac:dyDescent="0.3">
      <c r="A453" s="2"/>
      <c r="B453" s="2"/>
      <c r="C453" s="2"/>
      <c r="D453" s="2"/>
      <c r="E453" s="2"/>
    </row>
    <row r="454" spans="1:5" ht="15.7" customHeight="1" x14ac:dyDescent="0.3">
      <c r="A454" s="2"/>
      <c r="B454" s="2"/>
      <c r="C454" s="2"/>
      <c r="D454" s="2"/>
      <c r="E454" s="2"/>
    </row>
    <row r="455" spans="1:5" ht="15.7" customHeight="1" x14ac:dyDescent="0.3">
      <c r="A455" s="2"/>
      <c r="B455" s="2"/>
      <c r="C455" s="2"/>
      <c r="D455" s="2"/>
      <c r="E455" s="2"/>
    </row>
    <row r="456" spans="1:5" ht="15.7" customHeight="1" x14ac:dyDescent="0.3">
      <c r="A456" s="2"/>
      <c r="B456" s="2"/>
      <c r="C456" s="2"/>
      <c r="D456" s="2"/>
      <c r="E456" s="2"/>
    </row>
    <row r="457" spans="1:5" ht="15.7" customHeight="1" x14ac:dyDescent="0.3">
      <c r="A457" s="2"/>
      <c r="B457" s="2"/>
      <c r="C457" s="2"/>
      <c r="D457" s="2"/>
      <c r="E457" s="2"/>
    </row>
    <row r="458" spans="1:5" ht="15.7" customHeight="1" x14ac:dyDescent="0.3">
      <c r="A458" s="2"/>
      <c r="B458" s="2"/>
      <c r="C458" s="2"/>
      <c r="D458" s="2"/>
      <c r="E458" s="2"/>
    </row>
    <row r="459" spans="1:5" ht="15.7" customHeight="1" x14ac:dyDescent="0.3">
      <c r="A459" s="2"/>
      <c r="B459" s="2"/>
      <c r="C459" s="2"/>
      <c r="D459" s="2"/>
      <c r="E459" s="2"/>
    </row>
    <row r="460" spans="1:5" ht="15.7" customHeight="1" x14ac:dyDescent="0.3">
      <c r="A460" s="2"/>
      <c r="B460" s="2"/>
      <c r="C460" s="2"/>
      <c r="D460" s="2"/>
      <c r="E460" s="2"/>
    </row>
    <row r="461" spans="1:5" ht="15.7" customHeight="1" x14ac:dyDescent="0.3">
      <c r="A461" s="2"/>
      <c r="B461" s="2"/>
      <c r="C461" s="2"/>
      <c r="D461" s="2"/>
      <c r="E461" s="2"/>
    </row>
    <row r="462" spans="1:5" ht="15.7" customHeight="1" x14ac:dyDescent="0.3">
      <c r="A462" s="2"/>
      <c r="B462" s="2"/>
      <c r="C462" s="2"/>
      <c r="D462" s="2"/>
      <c r="E462" s="2"/>
    </row>
    <row r="463" spans="1:5" ht="15.7" customHeight="1" x14ac:dyDescent="0.3">
      <c r="A463" s="2"/>
      <c r="B463" s="2"/>
      <c r="C463" s="2"/>
      <c r="D463" s="2"/>
      <c r="E463" s="2"/>
    </row>
    <row r="464" spans="1:5" ht="15.7" customHeight="1" x14ac:dyDescent="0.3">
      <c r="A464" s="2"/>
      <c r="B464" s="2"/>
      <c r="C464" s="2"/>
      <c r="D464" s="2"/>
      <c r="E464" s="2"/>
    </row>
    <row r="465" spans="1:5" ht="15.7" customHeight="1" x14ac:dyDescent="0.3">
      <c r="A465" s="2"/>
      <c r="B465" s="2"/>
      <c r="C465" s="2"/>
      <c r="D465" s="2"/>
      <c r="E465" s="2"/>
    </row>
    <row r="466" spans="1:5" ht="15.7" customHeight="1" x14ac:dyDescent="0.3">
      <c r="A466" s="2"/>
      <c r="B466" s="2"/>
      <c r="C466" s="2"/>
      <c r="D466" s="2"/>
      <c r="E466" s="2"/>
    </row>
    <row r="467" spans="1:5" ht="15.7" customHeight="1" x14ac:dyDescent="0.3">
      <c r="A467" s="2"/>
      <c r="B467" s="2"/>
      <c r="C467" s="2"/>
      <c r="D467" s="2"/>
      <c r="E467" s="2"/>
    </row>
    <row r="468" spans="1:5" ht="15.7" customHeight="1" x14ac:dyDescent="0.3">
      <c r="A468" s="2"/>
      <c r="B468" s="2"/>
      <c r="C468" s="2"/>
      <c r="D468" s="2"/>
      <c r="E468" s="2"/>
    </row>
    <row r="469" spans="1:5" ht="15.7" customHeight="1" x14ac:dyDescent="0.3">
      <c r="A469" s="2"/>
      <c r="B469" s="2"/>
      <c r="C469" s="2"/>
      <c r="D469" s="2"/>
      <c r="E469" s="2"/>
    </row>
    <row r="470" spans="1:5" ht="15.7" customHeight="1" x14ac:dyDescent="0.3">
      <c r="A470" s="2"/>
      <c r="B470" s="2"/>
      <c r="C470" s="2"/>
      <c r="D470" s="2"/>
      <c r="E470" s="2"/>
    </row>
    <row r="471" spans="1:5" ht="15.7" customHeight="1" x14ac:dyDescent="0.3">
      <c r="A471" s="2"/>
      <c r="B471" s="2"/>
      <c r="C471" s="2"/>
      <c r="D471" s="2"/>
      <c r="E471" s="2"/>
    </row>
    <row r="472" spans="1:5" ht="15.7" customHeight="1" x14ac:dyDescent="0.3">
      <c r="A472" s="2"/>
      <c r="B472" s="2"/>
      <c r="C472" s="2"/>
      <c r="D472" s="2"/>
      <c r="E472" s="2"/>
    </row>
    <row r="473" spans="1:5" ht="15.7" customHeight="1" x14ac:dyDescent="0.3">
      <c r="A473" s="2"/>
      <c r="B473" s="2"/>
      <c r="C473" s="2"/>
      <c r="D473" s="2"/>
      <c r="E473" s="2"/>
    </row>
    <row r="474" spans="1:5" ht="15.7" customHeight="1" x14ac:dyDescent="0.3">
      <c r="A474" s="2"/>
      <c r="B474" s="2"/>
      <c r="C474" s="2"/>
      <c r="D474" s="2"/>
      <c r="E474" s="2"/>
    </row>
    <row r="475" spans="1:5" ht="15.7" customHeight="1" x14ac:dyDescent="0.3">
      <c r="A475" s="2"/>
      <c r="B475" s="2"/>
      <c r="C475" s="2"/>
      <c r="D475" s="2"/>
      <c r="E475" s="2"/>
    </row>
    <row r="476" spans="1:5" ht="15.7" customHeight="1" x14ac:dyDescent="0.3">
      <c r="A476" s="2"/>
      <c r="B476" s="2"/>
      <c r="C476" s="2"/>
      <c r="D476" s="2"/>
      <c r="E476" s="2"/>
    </row>
    <row r="477" spans="1:5" ht="15.7" customHeight="1" x14ac:dyDescent="0.3">
      <c r="A477" s="2"/>
      <c r="B477" s="2"/>
      <c r="C477" s="2"/>
      <c r="D477" s="2"/>
      <c r="E477" s="2"/>
    </row>
    <row r="478" spans="1:5" ht="15.7" customHeight="1" x14ac:dyDescent="0.3">
      <c r="A478" s="2"/>
      <c r="B478" s="2"/>
      <c r="C478" s="2"/>
      <c r="D478" s="2"/>
      <c r="E478" s="2"/>
    </row>
    <row r="479" spans="1:5" ht="15.7" customHeight="1" x14ac:dyDescent="0.3">
      <c r="A479" s="2"/>
      <c r="B479" s="2"/>
      <c r="C479" s="2"/>
      <c r="D479" s="2"/>
      <c r="E479" s="2"/>
    </row>
    <row r="480" spans="1:5" ht="15.7" customHeight="1" x14ac:dyDescent="0.3">
      <c r="A480" s="2"/>
      <c r="B480" s="2"/>
      <c r="C480" s="2"/>
      <c r="D480" s="2"/>
      <c r="E480" s="2"/>
    </row>
    <row r="481" spans="1:5" ht="15.7" customHeight="1" x14ac:dyDescent="0.3">
      <c r="A481" s="2"/>
      <c r="B481" s="2"/>
      <c r="C481" s="2"/>
      <c r="D481" s="2"/>
      <c r="E481" s="2"/>
    </row>
    <row r="482" spans="1:5" ht="15.7" customHeight="1" x14ac:dyDescent="0.3">
      <c r="A482" s="2"/>
      <c r="B482" s="2"/>
      <c r="C482" s="2"/>
      <c r="D482" s="2"/>
      <c r="E482" s="2"/>
    </row>
    <row r="483" spans="1:5" ht="15.7" customHeight="1" x14ac:dyDescent="0.3">
      <c r="A483" s="2"/>
      <c r="B483" s="2"/>
      <c r="C483" s="2"/>
      <c r="D483" s="2"/>
      <c r="E483" s="2"/>
    </row>
    <row r="484" spans="1:5" ht="15.7" customHeight="1" x14ac:dyDescent="0.3">
      <c r="A484" s="2"/>
      <c r="B484" s="2"/>
      <c r="C484" s="2"/>
      <c r="D484" s="2"/>
      <c r="E484" s="2"/>
    </row>
    <row r="485" spans="1:5" ht="15.7" customHeight="1" x14ac:dyDescent="0.3">
      <c r="A485" s="2"/>
      <c r="B485" s="2"/>
      <c r="C485" s="2"/>
      <c r="D485" s="2"/>
      <c r="E485" s="2"/>
    </row>
    <row r="486" spans="1:5" ht="15.7" customHeight="1" x14ac:dyDescent="0.3">
      <c r="A486" s="2"/>
      <c r="B486" s="2"/>
      <c r="C486" s="2"/>
      <c r="D486" s="2"/>
      <c r="E486" s="2"/>
    </row>
    <row r="487" spans="1:5" ht="15.7" customHeight="1" x14ac:dyDescent="0.3">
      <c r="A487" s="2"/>
      <c r="B487" s="2"/>
      <c r="C487" s="2"/>
      <c r="D487" s="2"/>
      <c r="E487" s="2"/>
    </row>
    <row r="488" spans="1:5" ht="15.7" customHeight="1" x14ac:dyDescent="0.3">
      <c r="A488" s="2"/>
      <c r="B488" s="2"/>
      <c r="C488" s="2"/>
      <c r="D488" s="2"/>
      <c r="E488" s="2"/>
    </row>
    <row r="489" spans="1:5" ht="15.7" customHeight="1" x14ac:dyDescent="0.3">
      <c r="A489" s="2"/>
      <c r="B489" s="2"/>
      <c r="C489" s="2"/>
      <c r="D489" s="2"/>
      <c r="E489" s="2"/>
    </row>
    <row r="490" spans="1:5" ht="15.7" customHeight="1" x14ac:dyDescent="0.3">
      <c r="A490" s="2"/>
      <c r="B490" s="2"/>
      <c r="C490" s="2"/>
      <c r="D490" s="2"/>
      <c r="E490" s="2"/>
    </row>
    <row r="491" spans="1:5" ht="15.7" customHeight="1" x14ac:dyDescent="0.3">
      <c r="A491" s="2"/>
      <c r="B491" s="2"/>
      <c r="C491" s="2"/>
      <c r="D491" s="2"/>
      <c r="E491" s="2"/>
    </row>
    <row r="492" spans="1:5" ht="15.7" customHeight="1" x14ac:dyDescent="0.3">
      <c r="A492" s="2"/>
      <c r="B492" s="2"/>
      <c r="C492" s="2"/>
      <c r="D492" s="2"/>
      <c r="E492" s="2"/>
    </row>
    <row r="493" spans="1:5" ht="15.7" customHeight="1" x14ac:dyDescent="0.3">
      <c r="A493" s="2"/>
      <c r="B493" s="2"/>
      <c r="C493" s="2"/>
      <c r="D493" s="2"/>
      <c r="E493" s="2"/>
    </row>
    <row r="494" spans="1:5" ht="15.7" customHeight="1" x14ac:dyDescent="0.3">
      <c r="A494" s="2"/>
      <c r="B494" s="2"/>
      <c r="C494" s="2"/>
      <c r="D494" s="2"/>
      <c r="E494" s="2"/>
    </row>
    <row r="495" spans="1:5" ht="15.7" customHeight="1" x14ac:dyDescent="0.3">
      <c r="A495" s="2"/>
      <c r="B495" s="2"/>
      <c r="C495" s="2"/>
      <c r="D495" s="2"/>
      <c r="E495" s="2"/>
    </row>
    <row r="496" spans="1:5" ht="15.7" customHeight="1" x14ac:dyDescent="0.3">
      <c r="A496" s="2"/>
      <c r="B496" s="2"/>
      <c r="C496" s="2"/>
      <c r="D496" s="2"/>
      <c r="E496" s="2"/>
    </row>
    <row r="497" spans="1:5" ht="15.7" customHeight="1" x14ac:dyDescent="0.3">
      <c r="A497" s="2"/>
      <c r="B497" s="2"/>
      <c r="C497" s="2"/>
      <c r="D497" s="2"/>
      <c r="E497" s="2"/>
    </row>
    <row r="498" spans="1:5" ht="15.7" customHeight="1" x14ac:dyDescent="0.3">
      <c r="A498" s="2"/>
      <c r="B498" s="2"/>
      <c r="C498" s="2"/>
      <c r="D498" s="2"/>
      <c r="E498" s="2"/>
    </row>
    <row r="499" spans="1:5" ht="15.7" customHeight="1" x14ac:dyDescent="0.3">
      <c r="A499" s="2"/>
      <c r="B499" s="2"/>
      <c r="C499" s="2"/>
      <c r="D499" s="2"/>
      <c r="E499" s="2"/>
    </row>
    <row r="500" spans="1:5" ht="15.7" customHeight="1" x14ac:dyDescent="0.3">
      <c r="A500" s="2"/>
      <c r="B500" s="2"/>
      <c r="C500" s="2"/>
      <c r="D500" s="2"/>
      <c r="E500" s="2"/>
    </row>
    <row r="501" spans="1:5" ht="15.7" customHeight="1" x14ac:dyDescent="0.3">
      <c r="A501" s="2"/>
      <c r="B501" s="2"/>
      <c r="C501" s="2"/>
      <c r="D501" s="2"/>
      <c r="E501" s="2"/>
    </row>
    <row r="502" spans="1:5" ht="15.7" customHeight="1" x14ac:dyDescent="0.3">
      <c r="A502" s="2"/>
      <c r="B502" s="2"/>
      <c r="C502" s="2"/>
      <c r="D502" s="2"/>
      <c r="E502" s="2"/>
    </row>
    <row r="503" spans="1:5" ht="15.7" customHeight="1" x14ac:dyDescent="0.3">
      <c r="A503" s="2"/>
      <c r="B503" s="2"/>
      <c r="C503" s="2"/>
      <c r="D503" s="2"/>
      <c r="E503" s="2"/>
    </row>
    <row r="504" spans="1:5" ht="15.7" customHeight="1" x14ac:dyDescent="0.3">
      <c r="A504" s="2"/>
      <c r="B504" s="2"/>
      <c r="C504" s="2"/>
      <c r="D504" s="2"/>
      <c r="E504" s="2"/>
    </row>
    <row r="505" spans="1:5" ht="15.7" customHeight="1" x14ac:dyDescent="0.3">
      <c r="A505" s="2"/>
      <c r="B505" s="2"/>
      <c r="C505" s="2"/>
      <c r="D505" s="2"/>
      <c r="E505" s="2"/>
    </row>
    <row r="506" spans="1:5" ht="15.7" customHeight="1" x14ac:dyDescent="0.3">
      <c r="A506" s="2"/>
      <c r="B506" s="2"/>
      <c r="C506" s="2"/>
      <c r="D506" s="2"/>
      <c r="E506" s="2"/>
    </row>
    <row r="507" spans="1:5" ht="15.7" customHeight="1" x14ac:dyDescent="0.3">
      <c r="A507" s="2"/>
      <c r="B507" s="2"/>
      <c r="C507" s="2"/>
      <c r="D507" s="2"/>
      <c r="E507" s="2"/>
    </row>
    <row r="508" spans="1:5" ht="15.7" customHeight="1" x14ac:dyDescent="0.3">
      <c r="A508" s="2"/>
      <c r="B508" s="2"/>
      <c r="C508" s="2"/>
      <c r="D508" s="2"/>
      <c r="E508" s="2"/>
    </row>
    <row r="509" spans="1:5" ht="15.7" customHeight="1" x14ac:dyDescent="0.3">
      <c r="A509" s="2"/>
      <c r="B509" s="2"/>
      <c r="C509" s="2"/>
      <c r="D509" s="2"/>
      <c r="E509" s="2"/>
    </row>
    <row r="510" spans="1:5" ht="15.7" customHeight="1" x14ac:dyDescent="0.3">
      <c r="A510" s="2"/>
      <c r="B510" s="2"/>
      <c r="C510" s="2"/>
      <c r="D510" s="2"/>
      <c r="E510" s="2"/>
    </row>
    <row r="511" spans="1:5" ht="15.7" customHeight="1" x14ac:dyDescent="0.3">
      <c r="A511" s="2"/>
      <c r="B511" s="2"/>
      <c r="C511" s="2"/>
      <c r="D511" s="2"/>
      <c r="E511" s="2"/>
    </row>
    <row r="512" spans="1:5" ht="15.7" customHeight="1" x14ac:dyDescent="0.3">
      <c r="A512" s="2"/>
      <c r="B512" s="2"/>
      <c r="C512" s="2"/>
      <c r="D512" s="2"/>
      <c r="E512" s="2"/>
    </row>
    <row r="513" spans="1:5" ht="15.7" customHeight="1" x14ac:dyDescent="0.3">
      <c r="A513" s="2"/>
      <c r="B513" s="2"/>
      <c r="C513" s="2"/>
      <c r="D513" s="2"/>
      <c r="E513" s="2"/>
    </row>
    <row r="514" spans="1:5" ht="15.7" customHeight="1" x14ac:dyDescent="0.3">
      <c r="A514" s="2"/>
      <c r="B514" s="2"/>
      <c r="C514" s="2"/>
      <c r="D514" s="2"/>
      <c r="E514" s="2"/>
    </row>
    <row r="515" spans="1:5" ht="15.7" customHeight="1" x14ac:dyDescent="0.3">
      <c r="A515" s="2"/>
      <c r="B515" s="2"/>
      <c r="C515" s="2"/>
      <c r="D515" s="2"/>
      <c r="E515" s="2"/>
    </row>
    <row r="516" spans="1:5" ht="15.7" customHeight="1" x14ac:dyDescent="0.3">
      <c r="A516" s="2"/>
      <c r="B516" s="2"/>
      <c r="C516" s="2"/>
      <c r="D516" s="2"/>
      <c r="E516" s="2"/>
    </row>
    <row r="517" spans="1:5" ht="15.7" customHeight="1" x14ac:dyDescent="0.3">
      <c r="A517" s="2"/>
      <c r="B517" s="2"/>
      <c r="C517" s="2"/>
      <c r="D517" s="2"/>
      <c r="E517" s="2"/>
    </row>
    <row r="518" spans="1:5" ht="15.7" customHeight="1" x14ac:dyDescent="0.3">
      <c r="A518" s="2"/>
      <c r="B518" s="2"/>
      <c r="C518" s="2"/>
      <c r="D518" s="2"/>
      <c r="E518" s="2"/>
    </row>
    <row r="519" spans="1:5" ht="15.7" customHeight="1" x14ac:dyDescent="0.3">
      <c r="A519" s="2"/>
      <c r="B519" s="2"/>
      <c r="C519" s="2"/>
      <c r="D519" s="2"/>
      <c r="E519" s="2"/>
    </row>
    <row r="520" spans="1:5" ht="15.7" customHeight="1" x14ac:dyDescent="0.3">
      <c r="A520" s="2"/>
      <c r="B520" s="2"/>
      <c r="C520" s="2"/>
      <c r="D520" s="2"/>
      <c r="E520" s="2"/>
    </row>
    <row r="521" spans="1:5" ht="15.7" customHeight="1" x14ac:dyDescent="0.3">
      <c r="A521" s="2"/>
      <c r="B521" s="2"/>
      <c r="C521" s="2"/>
      <c r="D521" s="2"/>
      <c r="E521" s="2"/>
    </row>
    <row r="522" spans="1:5" ht="15.7" customHeight="1" x14ac:dyDescent="0.3">
      <c r="A522" s="2"/>
      <c r="B522" s="2"/>
      <c r="C522" s="2"/>
      <c r="D522" s="2"/>
      <c r="E522" s="2"/>
    </row>
    <row r="523" spans="1:5" ht="15.7" customHeight="1" x14ac:dyDescent="0.3">
      <c r="A523" s="2"/>
      <c r="B523" s="2"/>
      <c r="C523" s="2"/>
      <c r="D523" s="2"/>
      <c r="E523" s="2"/>
    </row>
    <row r="524" spans="1:5" ht="15.7" customHeight="1" x14ac:dyDescent="0.3">
      <c r="A524" s="2"/>
      <c r="B524" s="2"/>
      <c r="C524" s="2"/>
      <c r="D524" s="2"/>
      <c r="E524" s="2"/>
    </row>
    <row r="525" spans="1:5" ht="15.7" customHeight="1" x14ac:dyDescent="0.3">
      <c r="A525" s="2"/>
      <c r="B525" s="2"/>
      <c r="C525" s="2"/>
      <c r="D525" s="2"/>
      <c r="E525" s="2"/>
    </row>
    <row r="526" spans="1:5" ht="15.7" customHeight="1" x14ac:dyDescent="0.3">
      <c r="A526" s="2"/>
      <c r="B526" s="2"/>
      <c r="C526" s="2"/>
      <c r="D526" s="2"/>
      <c r="E526" s="2"/>
    </row>
    <row r="527" spans="1:5" ht="15.7" customHeight="1" x14ac:dyDescent="0.3">
      <c r="A527" s="2"/>
      <c r="B527" s="2"/>
      <c r="C527" s="2"/>
      <c r="D527" s="2"/>
      <c r="E527" s="2"/>
    </row>
    <row r="528" spans="1:5" ht="15.7" customHeight="1" x14ac:dyDescent="0.3">
      <c r="A528" s="2"/>
      <c r="B528" s="2"/>
      <c r="C528" s="2"/>
      <c r="D528" s="2"/>
      <c r="E528" s="2"/>
    </row>
    <row r="529" spans="1:5" ht="15.7" customHeight="1" x14ac:dyDescent="0.3">
      <c r="A529" s="2"/>
      <c r="B529" s="2"/>
      <c r="C529" s="2"/>
      <c r="D529" s="2"/>
      <c r="E529" s="2"/>
    </row>
    <row r="530" spans="1:5" ht="15.7" customHeight="1" x14ac:dyDescent="0.3">
      <c r="A530" s="2"/>
      <c r="B530" s="2"/>
      <c r="C530" s="2"/>
      <c r="D530" s="2"/>
      <c r="E530" s="2"/>
    </row>
    <row r="531" spans="1:5" ht="15.7" customHeight="1" x14ac:dyDescent="0.3">
      <c r="A531" s="2"/>
      <c r="B531" s="2"/>
      <c r="C531" s="2"/>
      <c r="D531" s="2"/>
      <c r="E531" s="2"/>
    </row>
    <row r="532" spans="1:5" ht="15.7" customHeight="1" x14ac:dyDescent="0.3">
      <c r="A532" s="2"/>
      <c r="B532" s="2"/>
      <c r="C532" s="2"/>
      <c r="D532" s="2"/>
      <c r="E532" s="2"/>
    </row>
    <row r="533" spans="1:5" ht="15.7" customHeight="1" x14ac:dyDescent="0.3">
      <c r="A533" s="2"/>
      <c r="B533" s="2"/>
      <c r="C533" s="2"/>
      <c r="D533" s="2"/>
      <c r="E533" s="2"/>
    </row>
    <row r="534" spans="1:5" ht="15.7" customHeight="1" x14ac:dyDescent="0.3">
      <c r="A534" s="2"/>
      <c r="B534" s="2"/>
      <c r="C534" s="2"/>
      <c r="D534" s="2"/>
      <c r="E534" s="2"/>
    </row>
    <row r="535" spans="1:5" ht="15.7" customHeight="1" x14ac:dyDescent="0.3">
      <c r="A535" s="2"/>
      <c r="B535" s="2"/>
      <c r="C535" s="2"/>
      <c r="D535" s="2"/>
      <c r="E535" s="2"/>
    </row>
    <row r="536" spans="1:5" ht="15.7" customHeight="1" x14ac:dyDescent="0.3">
      <c r="A536" s="2"/>
      <c r="B536" s="2"/>
      <c r="C536" s="2"/>
      <c r="D536" s="2"/>
      <c r="E536" s="2"/>
    </row>
    <row r="537" spans="1:5" ht="15.7" customHeight="1" x14ac:dyDescent="0.3">
      <c r="A537" s="2"/>
      <c r="B537" s="2"/>
      <c r="C537" s="2"/>
      <c r="D537" s="2"/>
      <c r="E537" s="2"/>
    </row>
    <row r="538" spans="1:5" ht="15.7" customHeight="1" x14ac:dyDescent="0.3">
      <c r="A538" s="2"/>
      <c r="B538" s="2"/>
      <c r="C538" s="2"/>
      <c r="D538" s="2"/>
      <c r="E538" s="2"/>
    </row>
    <row r="539" spans="1:5" ht="15.7" customHeight="1" x14ac:dyDescent="0.3">
      <c r="A539" s="2"/>
      <c r="B539" s="2"/>
      <c r="C539" s="2"/>
      <c r="D539" s="2"/>
      <c r="E539" s="2"/>
    </row>
    <row r="540" spans="1:5" ht="15.7" customHeight="1" x14ac:dyDescent="0.3">
      <c r="A540" s="2"/>
      <c r="B540" s="2"/>
      <c r="C540" s="2"/>
      <c r="D540" s="2"/>
      <c r="E540" s="2"/>
    </row>
    <row r="541" spans="1:5" ht="15.7" customHeight="1" x14ac:dyDescent="0.3">
      <c r="A541" s="2"/>
      <c r="B541" s="2"/>
      <c r="C541" s="2"/>
      <c r="D541" s="2"/>
      <c r="E541" s="2"/>
    </row>
    <row r="542" spans="1:5" ht="15.7" customHeight="1" x14ac:dyDescent="0.3">
      <c r="A542" s="2"/>
      <c r="B542" s="2"/>
      <c r="C542" s="2"/>
      <c r="D542" s="2"/>
      <c r="E542" s="2"/>
    </row>
    <row r="543" spans="1:5" ht="15.7" customHeight="1" x14ac:dyDescent="0.3">
      <c r="A543" s="2"/>
      <c r="B543" s="2"/>
      <c r="C543" s="2"/>
      <c r="D543" s="2"/>
      <c r="E543" s="2"/>
    </row>
    <row r="544" spans="1:5" ht="15.7" customHeight="1" x14ac:dyDescent="0.3">
      <c r="A544" s="2"/>
      <c r="B544" s="2"/>
      <c r="C544" s="2"/>
      <c r="D544" s="2"/>
      <c r="E544" s="2"/>
    </row>
    <row r="545" spans="1:5" ht="15.7" customHeight="1" x14ac:dyDescent="0.3">
      <c r="A545" s="2"/>
      <c r="B545" s="2"/>
      <c r="C545" s="2"/>
      <c r="D545" s="2"/>
      <c r="E545" s="2"/>
    </row>
    <row r="546" spans="1:5" ht="15.7" customHeight="1" x14ac:dyDescent="0.3">
      <c r="A546" s="2"/>
      <c r="B546" s="2"/>
      <c r="C546" s="2"/>
      <c r="D546" s="2"/>
      <c r="E546" s="2"/>
    </row>
    <row r="547" spans="1:5" ht="15.7" customHeight="1" x14ac:dyDescent="0.3">
      <c r="A547" s="2"/>
      <c r="B547" s="2"/>
      <c r="C547" s="2"/>
      <c r="D547" s="2"/>
      <c r="E547" s="2"/>
    </row>
    <row r="548" spans="1:5" ht="15.7" customHeight="1" x14ac:dyDescent="0.3">
      <c r="A548" s="2"/>
      <c r="B548" s="2"/>
      <c r="C548" s="2"/>
      <c r="D548" s="2"/>
      <c r="E548" s="2"/>
    </row>
    <row r="549" spans="1:5" ht="15.7" customHeight="1" x14ac:dyDescent="0.3">
      <c r="A549" s="2"/>
      <c r="B549" s="2"/>
      <c r="C549" s="2"/>
      <c r="D549" s="2"/>
      <c r="E549" s="2"/>
    </row>
    <row r="550" spans="1:5" ht="15.7" customHeight="1" x14ac:dyDescent="0.3">
      <c r="A550" s="2"/>
      <c r="B550" s="2"/>
      <c r="C550" s="2"/>
      <c r="D550" s="2"/>
      <c r="E550" s="2"/>
    </row>
    <row r="551" spans="1:5" ht="15.7" customHeight="1" x14ac:dyDescent="0.3">
      <c r="A551" s="2"/>
      <c r="B551" s="2"/>
      <c r="C551" s="2"/>
      <c r="D551" s="2"/>
      <c r="E551" s="2"/>
    </row>
    <row r="552" spans="1:5" ht="15.7" customHeight="1" x14ac:dyDescent="0.3">
      <c r="A552" s="2"/>
      <c r="B552" s="2"/>
      <c r="C552" s="2"/>
      <c r="D552" s="2"/>
      <c r="E552" s="2"/>
    </row>
    <row r="553" spans="1:5" ht="15.7" customHeight="1" x14ac:dyDescent="0.3">
      <c r="A553" s="2"/>
      <c r="B553" s="2"/>
      <c r="C553" s="2"/>
      <c r="D553" s="2"/>
      <c r="E553" s="2"/>
    </row>
    <row r="554" spans="1:5" ht="15.7" customHeight="1" x14ac:dyDescent="0.3">
      <c r="A554" s="2"/>
      <c r="B554" s="2"/>
      <c r="C554" s="2"/>
      <c r="D554" s="2"/>
      <c r="E554" s="2"/>
    </row>
    <row r="555" spans="1:5" ht="15.7" customHeight="1" x14ac:dyDescent="0.3">
      <c r="A555" s="2"/>
      <c r="B555" s="2"/>
      <c r="C555" s="2"/>
      <c r="D555" s="2"/>
      <c r="E555" s="2"/>
    </row>
    <row r="556" spans="1:5" ht="15.7" customHeight="1" x14ac:dyDescent="0.3">
      <c r="A556" s="2"/>
      <c r="B556" s="2"/>
      <c r="C556" s="2"/>
      <c r="D556" s="2"/>
      <c r="E556" s="2"/>
    </row>
    <row r="557" spans="1:5" ht="15.7" customHeight="1" x14ac:dyDescent="0.3">
      <c r="A557" s="2"/>
      <c r="B557" s="2"/>
      <c r="C557" s="2"/>
      <c r="D557" s="2"/>
      <c r="E557" s="2"/>
    </row>
    <row r="558" spans="1:5" ht="15.7" customHeight="1" x14ac:dyDescent="0.3">
      <c r="A558" s="2"/>
      <c r="B558" s="2"/>
      <c r="C558" s="2"/>
      <c r="D558" s="2"/>
      <c r="E558" s="2"/>
    </row>
    <row r="559" spans="1:5" ht="15.7" customHeight="1" x14ac:dyDescent="0.3">
      <c r="A559" s="2"/>
      <c r="B559" s="2"/>
      <c r="C559" s="2"/>
      <c r="D559" s="2"/>
      <c r="E559" s="2"/>
    </row>
    <row r="560" spans="1:5" ht="15.7" customHeight="1" x14ac:dyDescent="0.3">
      <c r="A560" s="2"/>
      <c r="B560" s="2"/>
      <c r="C560" s="2"/>
      <c r="D560" s="2"/>
      <c r="E560" s="2"/>
    </row>
    <row r="561" spans="1:5" ht="15.7" customHeight="1" x14ac:dyDescent="0.3">
      <c r="A561" s="2"/>
      <c r="B561" s="2"/>
      <c r="C561" s="2"/>
      <c r="D561" s="2"/>
      <c r="E561" s="2"/>
    </row>
    <row r="562" spans="1:5" ht="15.7" customHeight="1" x14ac:dyDescent="0.3">
      <c r="A562" s="2"/>
      <c r="B562" s="2"/>
      <c r="C562" s="2"/>
      <c r="D562" s="2"/>
      <c r="E562" s="2"/>
    </row>
    <row r="563" spans="1:5" ht="15.7" customHeight="1" x14ac:dyDescent="0.3">
      <c r="A563" s="2"/>
      <c r="B563" s="2"/>
      <c r="C563" s="2"/>
      <c r="D563" s="2"/>
      <c r="E563" s="2"/>
    </row>
    <row r="564" spans="1:5" ht="15.7" customHeight="1" x14ac:dyDescent="0.3">
      <c r="A564" s="2"/>
      <c r="B564" s="2"/>
      <c r="C564" s="2"/>
      <c r="D564" s="2"/>
      <c r="E564" s="2"/>
    </row>
    <row r="565" spans="1:5" ht="15.7" customHeight="1" x14ac:dyDescent="0.3">
      <c r="A565" s="2"/>
      <c r="B565" s="2"/>
      <c r="C565" s="2"/>
      <c r="D565" s="2"/>
      <c r="E565" s="2"/>
    </row>
    <row r="566" spans="1:5" ht="15.7" customHeight="1" x14ac:dyDescent="0.3">
      <c r="A566" s="2"/>
      <c r="B566" s="2"/>
      <c r="C566" s="2"/>
      <c r="D566" s="2"/>
      <c r="E566" s="2"/>
    </row>
    <row r="567" spans="1:5" ht="15.7" customHeight="1" x14ac:dyDescent="0.3">
      <c r="A567" s="2"/>
      <c r="B567" s="2"/>
      <c r="C567" s="2"/>
      <c r="D567" s="2"/>
      <c r="E567" s="2"/>
    </row>
    <row r="568" spans="1:5" ht="15.7" customHeight="1" x14ac:dyDescent="0.3">
      <c r="A568" s="2"/>
      <c r="B568" s="2"/>
      <c r="C568" s="2"/>
      <c r="D568" s="2"/>
      <c r="E568" s="2"/>
    </row>
    <row r="569" spans="1:5" ht="15.7" customHeight="1" x14ac:dyDescent="0.3">
      <c r="A569" s="2"/>
      <c r="B569" s="2"/>
      <c r="C569" s="2"/>
      <c r="D569" s="2"/>
      <c r="E569" s="2"/>
    </row>
    <row r="570" spans="1:5" ht="15.7" customHeight="1" x14ac:dyDescent="0.3">
      <c r="A570" s="2"/>
      <c r="B570" s="2"/>
      <c r="C570" s="2"/>
      <c r="D570" s="2"/>
      <c r="E570" s="2"/>
    </row>
    <row r="571" spans="1:5" ht="15.7" customHeight="1" x14ac:dyDescent="0.3">
      <c r="A571" s="2"/>
      <c r="B571" s="2"/>
      <c r="C571" s="2"/>
      <c r="D571" s="2"/>
      <c r="E571" s="2"/>
    </row>
    <row r="572" spans="1:5" ht="15.7" customHeight="1" x14ac:dyDescent="0.3">
      <c r="A572" s="2"/>
      <c r="B572" s="2"/>
      <c r="C572" s="2"/>
      <c r="D572" s="2"/>
      <c r="E572" s="2"/>
    </row>
    <row r="573" spans="1:5" ht="15.7" customHeight="1" x14ac:dyDescent="0.3">
      <c r="A573" s="2"/>
      <c r="B573" s="2"/>
      <c r="C573" s="2"/>
      <c r="D573" s="2"/>
      <c r="E573" s="2"/>
    </row>
    <row r="574" spans="1:5" ht="15.7" customHeight="1" x14ac:dyDescent="0.3">
      <c r="A574" s="2"/>
      <c r="B574" s="2"/>
      <c r="C574" s="2"/>
      <c r="D574" s="2"/>
      <c r="E574" s="2"/>
    </row>
    <row r="575" spans="1:5" ht="15.7" customHeight="1" x14ac:dyDescent="0.3">
      <c r="A575" s="2"/>
      <c r="B575" s="2"/>
      <c r="C575" s="2"/>
      <c r="D575" s="2"/>
      <c r="E575" s="2"/>
    </row>
    <row r="576" spans="1:5" ht="15.7" customHeight="1" x14ac:dyDescent="0.3">
      <c r="A576" s="2"/>
      <c r="B576" s="2"/>
      <c r="C576" s="2"/>
      <c r="D576" s="2"/>
      <c r="E576" s="2"/>
    </row>
    <row r="577" spans="1:5" ht="15.7" customHeight="1" x14ac:dyDescent="0.3">
      <c r="A577" s="2"/>
      <c r="B577" s="2"/>
      <c r="C577" s="2"/>
      <c r="D577" s="2"/>
      <c r="E577" s="2"/>
    </row>
    <row r="578" spans="1:5" ht="15.7" customHeight="1" x14ac:dyDescent="0.3">
      <c r="A578" s="2"/>
      <c r="B578" s="2"/>
      <c r="C578" s="2"/>
      <c r="D578" s="2"/>
      <c r="E578" s="2"/>
    </row>
    <row r="579" spans="1:5" ht="15.7" customHeight="1" x14ac:dyDescent="0.3">
      <c r="A579" s="2"/>
      <c r="B579" s="2"/>
      <c r="C579" s="2"/>
      <c r="D579" s="2"/>
      <c r="E579" s="2"/>
    </row>
    <row r="580" spans="1:5" ht="15.7" customHeight="1" x14ac:dyDescent="0.3">
      <c r="A580" s="2"/>
      <c r="B580" s="2"/>
      <c r="C580" s="2"/>
      <c r="D580" s="2"/>
      <c r="E580" s="2"/>
    </row>
    <row r="581" spans="1:5" ht="15.7" customHeight="1" x14ac:dyDescent="0.3">
      <c r="A581" s="2"/>
      <c r="B581" s="2"/>
      <c r="C581" s="2"/>
      <c r="D581" s="2"/>
      <c r="E581" s="2"/>
    </row>
    <row r="582" spans="1:5" ht="15.7" customHeight="1" x14ac:dyDescent="0.3">
      <c r="A582" s="2"/>
      <c r="B582" s="2"/>
      <c r="C582" s="2"/>
      <c r="D582" s="2"/>
      <c r="E582" s="2"/>
    </row>
    <row r="583" spans="1:5" ht="15.7" customHeight="1" x14ac:dyDescent="0.3">
      <c r="A583" s="2"/>
      <c r="B583" s="2"/>
      <c r="C583" s="2"/>
      <c r="D583" s="2"/>
      <c r="E583" s="2"/>
    </row>
    <row r="584" spans="1:5" ht="15.7" customHeight="1" x14ac:dyDescent="0.3">
      <c r="A584" s="2"/>
      <c r="B584" s="2"/>
      <c r="C584" s="2"/>
      <c r="D584" s="2"/>
      <c r="E584" s="2"/>
    </row>
    <row r="585" spans="1:5" ht="15.7" customHeight="1" x14ac:dyDescent="0.3">
      <c r="A585" s="2"/>
      <c r="B585" s="2"/>
      <c r="C585" s="2"/>
      <c r="D585" s="2"/>
      <c r="E585" s="2"/>
    </row>
    <row r="586" spans="1:5" ht="15.7" customHeight="1" x14ac:dyDescent="0.3">
      <c r="A586" s="2"/>
      <c r="B586" s="2"/>
      <c r="C586" s="2"/>
      <c r="D586" s="2"/>
      <c r="E586" s="2"/>
    </row>
    <row r="587" spans="1:5" ht="15.7" customHeight="1" x14ac:dyDescent="0.3">
      <c r="A587" s="2"/>
      <c r="B587" s="2"/>
      <c r="C587" s="2"/>
      <c r="D587" s="2"/>
      <c r="E587" s="2"/>
    </row>
    <row r="588" spans="1:5" ht="15.7" customHeight="1" x14ac:dyDescent="0.3">
      <c r="A588" s="2"/>
      <c r="B588" s="2"/>
      <c r="C588" s="2"/>
      <c r="D588" s="2"/>
      <c r="E588" s="2"/>
    </row>
    <row r="589" spans="1:5" ht="15.7" customHeight="1" x14ac:dyDescent="0.3">
      <c r="A589" s="2"/>
      <c r="B589" s="2"/>
      <c r="C589" s="2"/>
      <c r="D589" s="2"/>
      <c r="E589" s="2"/>
    </row>
    <row r="590" spans="1:5" ht="15.7" customHeight="1" x14ac:dyDescent="0.3">
      <c r="A590" s="2"/>
      <c r="B590" s="2"/>
      <c r="C590" s="2"/>
      <c r="D590" s="2"/>
      <c r="E590" s="2"/>
    </row>
    <row r="591" spans="1:5" ht="15.7" customHeight="1" x14ac:dyDescent="0.3">
      <c r="A591" s="2"/>
      <c r="B591" s="2"/>
      <c r="C591" s="2"/>
      <c r="D591" s="2"/>
      <c r="E591" s="2"/>
    </row>
    <row r="592" spans="1:5" ht="15.7" customHeight="1" x14ac:dyDescent="0.3">
      <c r="A592" s="2"/>
      <c r="B592" s="2"/>
      <c r="C592" s="2"/>
      <c r="D592" s="2"/>
      <c r="E592" s="2"/>
    </row>
    <row r="593" spans="1:5" ht="15.7" customHeight="1" x14ac:dyDescent="0.3">
      <c r="A593" s="2"/>
      <c r="B593" s="2"/>
      <c r="C593" s="2"/>
      <c r="D593" s="2"/>
      <c r="E593" s="2"/>
    </row>
    <row r="594" spans="1:5" ht="15.7" customHeight="1" x14ac:dyDescent="0.3">
      <c r="A594" s="2"/>
      <c r="B594" s="2"/>
      <c r="C594" s="2"/>
      <c r="D594" s="2"/>
      <c r="E594" s="2"/>
    </row>
    <row r="595" spans="1:5" ht="15.7" customHeight="1" x14ac:dyDescent="0.3">
      <c r="A595" s="2"/>
      <c r="B595" s="2"/>
      <c r="C595" s="2"/>
      <c r="D595" s="2"/>
      <c r="E595" s="2"/>
    </row>
    <row r="596" spans="1:5" ht="15.7" customHeight="1" x14ac:dyDescent="0.3">
      <c r="A596" s="2"/>
      <c r="B596" s="2"/>
      <c r="C596" s="2"/>
      <c r="D596" s="2"/>
      <c r="E596" s="2"/>
    </row>
    <row r="597" spans="1:5" ht="15.7" customHeight="1" x14ac:dyDescent="0.3">
      <c r="A597" s="2"/>
      <c r="B597" s="2"/>
      <c r="C597" s="2"/>
      <c r="D597" s="2"/>
      <c r="E597" s="2"/>
    </row>
    <row r="598" spans="1:5" ht="15.7" customHeight="1" x14ac:dyDescent="0.3">
      <c r="A598" s="2"/>
      <c r="B598" s="2"/>
      <c r="C598" s="2"/>
      <c r="D598" s="2"/>
      <c r="E598" s="2"/>
    </row>
    <row r="599" spans="1:5" ht="15.7" customHeight="1" x14ac:dyDescent="0.3">
      <c r="A599" s="2"/>
      <c r="B599" s="2"/>
      <c r="C599" s="2"/>
      <c r="D599" s="2"/>
      <c r="E599" s="2"/>
    </row>
    <row r="600" spans="1:5" ht="15.7" customHeight="1" x14ac:dyDescent="0.3">
      <c r="A600" s="2"/>
      <c r="B600" s="2"/>
      <c r="C600" s="2"/>
      <c r="D600" s="2"/>
      <c r="E600" s="2"/>
    </row>
    <row r="601" spans="1:5" ht="15.7" customHeight="1" x14ac:dyDescent="0.3">
      <c r="A601" s="2"/>
      <c r="B601" s="2"/>
      <c r="C601" s="2"/>
      <c r="D601" s="2"/>
      <c r="E601" s="2"/>
    </row>
    <row r="602" spans="1:5" ht="15.7" customHeight="1" x14ac:dyDescent="0.3">
      <c r="A602" s="2"/>
      <c r="B602" s="2"/>
      <c r="C602" s="2"/>
      <c r="D602" s="2"/>
      <c r="E602" s="2"/>
    </row>
    <row r="603" spans="1:5" ht="15.7" customHeight="1" x14ac:dyDescent="0.3">
      <c r="A603" s="2"/>
      <c r="B603" s="2"/>
      <c r="C603" s="2"/>
      <c r="D603" s="2"/>
      <c r="E603" s="2"/>
    </row>
    <row r="604" spans="1:5" ht="15.7" customHeight="1" x14ac:dyDescent="0.3">
      <c r="A604" s="2"/>
      <c r="B604" s="2"/>
      <c r="C604" s="2"/>
      <c r="D604" s="2"/>
      <c r="E604" s="2"/>
    </row>
    <row r="605" spans="1:5" ht="15.7" customHeight="1" x14ac:dyDescent="0.3">
      <c r="A605" s="2"/>
      <c r="B605" s="2"/>
      <c r="C605" s="2"/>
      <c r="D605" s="2"/>
      <c r="E605" s="2"/>
    </row>
    <row r="606" spans="1:5" ht="15.7" customHeight="1" x14ac:dyDescent="0.3">
      <c r="A606" s="2"/>
      <c r="B606" s="2"/>
      <c r="C606" s="2"/>
      <c r="D606" s="2"/>
      <c r="E606" s="2"/>
    </row>
    <row r="607" spans="1:5" ht="15.7" customHeight="1" x14ac:dyDescent="0.3">
      <c r="A607" s="2"/>
      <c r="B607" s="2"/>
      <c r="C607" s="2"/>
      <c r="D607" s="2"/>
      <c r="E607" s="2"/>
    </row>
    <row r="608" spans="1:5" ht="15.7" customHeight="1" x14ac:dyDescent="0.3">
      <c r="A608" s="2"/>
      <c r="B608" s="2"/>
      <c r="C608" s="2"/>
      <c r="D608" s="2"/>
      <c r="E608" s="2"/>
    </row>
    <row r="609" spans="1:5" ht="15.7" customHeight="1" x14ac:dyDescent="0.3">
      <c r="A609" s="2"/>
      <c r="B609" s="2"/>
      <c r="C609" s="2"/>
      <c r="D609" s="2"/>
      <c r="E609" s="2"/>
    </row>
    <row r="610" spans="1:5" ht="15.7" customHeight="1" x14ac:dyDescent="0.3">
      <c r="A610" s="2"/>
      <c r="B610" s="2"/>
      <c r="C610" s="2"/>
      <c r="D610" s="2"/>
      <c r="E610" s="2"/>
    </row>
    <row r="611" spans="1:5" ht="15.7" customHeight="1" x14ac:dyDescent="0.3">
      <c r="A611" s="2"/>
      <c r="B611" s="2"/>
      <c r="C611" s="2"/>
      <c r="D611" s="2"/>
      <c r="E611" s="2"/>
    </row>
    <row r="612" spans="1:5" ht="15.7" customHeight="1" x14ac:dyDescent="0.3">
      <c r="A612" s="2"/>
      <c r="B612" s="2"/>
      <c r="C612" s="2"/>
      <c r="D612" s="2"/>
      <c r="E612" s="2"/>
    </row>
    <row r="613" spans="1:5" ht="15.7" customHeight="1" x14ac:dyDescent="0.3">
      <c r="A613" s="2"/>
      <c r="B613" s="2"/>
      <c r="C613" s="2"/>
      <c r="D613" s="2"/>
      <c r="E613" s="2"/>
    </row>
    <row r="614" spans="1:5" ht="15.7" customHeight="1" x14ac:dyDescent="0.3">
      <c r="A614" s="2"/>
      <c r="B614" s="2"/>
      <c r="C614" s="2"/>
      <c r="D614" s="2"/>
      <c r="E614" s="2"/>
    </row>
    <row r="615" spans="1:5" ht="15.7" customHeight="1" x14ac:dyDescent="0.3">
      <c r="A615" s="2"/>
      <c r="B615" s="2"/>
      <c r="C615" s="2"/>
      <c r="D615" s="2"/>
      <c r="E615" s="2"/>
    </row>
    <row r="616" spans="1:5" ht="15.7" customHeight="1" x14ac:dyDescent="0.3">
      <c r="A616" s="2"/>
      <c r="B616" s="2"/>
      <c r="C616" s="2"/>
      <c r="D616" s="2"/>
      <c r="E616" s="2"/>
    </row>
    <row r="617" spans="1:5" ht="15.7" customHeight="1" x14ac:dyDescent="0.3">
      <c r="A617" s="2"/>
      <c r="B617" s="2"/>
      <c r="C617" s="2"/>
      <c r="D617" s="2"/>
      <c r="E617" s="2"/>
    </row>
    <row r="618" spans="1:5" ht="15.7" customHeight="1" x14ac:dyDescent="0.3">
      <c r="A618" s="2"/>
      <c r="B618" s="2"/>
      <c r="C618" s="2"/>
      <c r="D618" s="2"/>
      <c r="E618" s="2"/>
    </row>
    <row r="619" spans="1:5" ht="15.7" customHeight="1" x14ac:dyDescent="0.3">
      <c r="A619" s="2"/>
      <c r="B619" s="2"/>
      <c r="C619" s="2"/>
      <c r="D619" s="2"/>
      <c r="E619" s="2"/>
    </row>
    <row r="620" spans="1:5" ht="15.7" customHeight="1" x14ac:dyDescent="0.3">
      <c r="A620" s="2"/>
      <c r="B620" s="2"/>
      <c r="C620" s="2"/>
      <c r="D620" s="2"/>
      <c r="E620" s="2"/>
    </row>
    <row r="621" spans="1:5" ht="15.7" customHeight="1" x14ac:dyDescent="0.3">
      <c r="A621" s="2"/>
      <c r="B621" s="2"/>
      <c r="C621" s="2"/>
      <c r="D621" s="2"/>
      <c r="E621" s="2"/>
    </row>
    <row r="622" spans="1:5" ht="15.7" customHeight="1" x14ac:dyDescent="0.3">
      <c r="A622" s="2"/>
      <c r="B622" s="2"/>
      <c r="C622" s="2"/>
      <c r="D622" s="2"/>
      <c r="E622" s="2"/>
    </row>
    <row r="623" spans="1:5" ht="15.7" customHeight="1" x14ac:dyDescent="0.3">
      <c r="A623" s="2"/>
      <c r="B623" s="2"/>
      <c r="C623" s="2"/>
      <c r="D623" s="2"/>
      <c r="E623" s="2"/>
    </row>
    <row r="624" spans="1:5" ht="15.7" customHeight="1" x14ac:dyDescent="0.3">
      <c r="A624" s="2"/>
      <c r="B624" s="2"/>
      <c r="C624" s="2"/>
      <c r="D624" s="2"/>
      <c r="E624" s="2"/>
    </row>
    <row r="625" spans="1:5" ht="15.7" customHeight="1" x14ac:dyDescent="0.3">
      <c r="A625" s="2"/>
      <c r="B625" s="2"/>
      <c r="C625" s="2"/>
      <c r="D625" s="2"/>
      <c r="E625" s="2"/>
    </row>
    <row r="626" spans="1:5" ht="15.7" customHeight="1" x14ac:dyDescent="0.3">
      <c r="A626" s="2"/>
      <c r="B626" s="2"/>
      <c r="C626" s="2"/>
      <c r="D626" s="2"/>
      <c r="E626" s="2"/>
    </row>
    <row r="627" spans="1:5" ht="15.7" customHeight="1" x14ac:dyDescent="0.3">
      <c r="A627" s="2"/>
      <c r="B627" s="2"/>
      <c r="C627" s="2"/>
      <c r="D627" s="2"/>
      <c r="E627" s="2"/>
    </row>
    <row r="628" spans="1:5" ht="15.7" customHeight="1" x14ac:dyDescent="0.3">
      <c r="A628" s="2"/>
      <c r="B628" s="2"/>
      <c r="C628" s="2"/>
      <c r="D628" s="2"/>
      <c r="E628" s="2"/>
    </row>
    <row r="629" spans="1:5" ht="15.7" customHeight="1" x14ac:dyDescent="0.3">
      <c r="A629" s="2"/>
      <c r="B629" s="2"/>
      <c r="C629" s="2"/>
      <c r="D629" s="2"/>
      <c r="E629" s="2"/>
    </row>
    <row r="630" spans="1:5" ht="15.7" customHeight="1" x14ac:dyDescent="0.3">
      <c r="A630" s="2"/>
      <c r="B630" s="2"/>
      <c r="C630" s="2"/>
      <c r="D630" s="2"/>
      <c r="E630" s="2"/>
    </row>
    <row r="631" spans="1:5" ht="15.7" customHeight="1" x14ac:dyDescent="0.3">
      <c r="A631" s="2"/>
      <c r="B631" s="2"/>
      <c r="C631" s="2"/>
      <c r="D631" s="2"/>
      <c r="E631" s="2"/>
    </row>
    <row r="632" spans="1:5" ht="15.7" customHeight="1" x14ac:dyDescent="0.3">
      <c r="A632" s="2"/>
      <c r="B632" s="2"/>
      <c r="C632" s="2"/>
      <c r="D632" s="2"/>
      <c r="E632" s="2"/>
    </row>
    <row r="633" spans="1:5" ht="15.7" customHeight="1" x14ac:dyDescent="0.3">
      <c r="A633" s="2"/>
      <c r="B633" s="2"/>
      <c r="C633" s="2"/>
      <c r="D633" s="2"/>
      <c r="E633" s="2"/>
    </row>
    <row r="634" spans="1:5" ht="15.7" customHeight="1" x14ac:dyDescent="0.3">
      <c r="A634" s="2"/>
      <c r="B634" s="2"/>
      <c r="C634" s="2"/>
      <c r="D634" s="2"/>
      <c r="E634" s="2"/>
    </row>
    <row r="635" spans="1:5" ht="15.7" customHeight="1" x14ac:dyDescent="0.3">
      <c r="A635" s="2"/>
      <c r="B635" s="2"/>
      <c r="C635" s="2"/>
      <c r="D635" s="2"/>
      <c r="E635" s="2"/>
    </row>
    <row r="636" spans="1:5" ht="15.7" customHeight="1" x14ac:dyDescent="0.3">
      <c r="A636" s="2"/>
      <c r="B636" s="2"/>
      <c r="C636" s="2"/>
      <c r="D636" s="2"/>
      <c r="E636" s="2"/>
    </row>
    <row r="637" spans="1:5" ht="15.7" customHeight="1" x14ac:dyDescent="0.3">
      <c r="A637" s="2"/>
      <c r="B637" s="2"/>
      <c r="C637" s="2"/>
      <c r="D637" s="2"/>
      <c r="E637" s="2"/>
    </row>
    <row r="638" spans="1:5" ht="15.7" customHeight="1" x14ac:dyDescent="0.3">
      <c r="A638" s="2"/>
      <c r="B638" s="2"/>
      <c r="C638" s="2"/>
      <c r="D638" s="2"/>
      <c r="E638" s="2"/>
    </row>
    <row r="639" spans="1:5" ht="15.7" customHeight="1" x14ac:dyDescent="0.3">
      <c r="A639" s="2"/>
      <c r="B639" s="2"/>
      <c r="C639" s="2"/>
      <c r="D639" s="2"/>
      <c r="E639" s="2"/>
    </row>
    <row r="640" spans="1:5" ht="15.7" customHeight="1" x14ac:dyDescent="0.3">
      <c r="A640" s="2"/>
      <c r="B640" s="2"/>
      <c r="C640" s="2"/>
      <c r="D640" s="2"/>
      <c r="E640" s="2"/>
    </row>
    <row r="641" spans="1:5" ht="15.7" customHeight="1" x14ac:dyDescent="0.3">
      <c r="A641" s="2"/>
      <c r="B641" s="2"/>
      <c r="C641" s="2"/>
      <c r="D641" s="2"/>
      <c r="E641" s="2"/>
    </row>
    <row r="642" spans="1:5" ht="15.7" customHeight="1" x14ac:dyDescent="0.3">
      <c r="A642" s="2"/>
      <c r="B642" s="2"/>
      <c r="C642" s="2"/>
      <c r="D642" s="2"/>
      <c r="E642" s="2"/>
    </row>
    <row r="643" spans="1:5" ht="15.7" customHeight="1" x14ac:dyDescent="0.3">
      <c r="A643" s="2"/>
      <c r="B643" s="2"/>
      <c r="C643" s="2"/>
      <c r="D643" s="2"/>
      <c r="E643" s="2"/>
    </row>
    <row r="644" spans="1:5" ht="15.7" customHeight="1" x14ac:dyDescent="0.3">
      <c r="A644" s="2"/>
      <c r="B644" s="2"/>
      <c r="C644" s="2"/>
      <c r="D644" s="2"/>
      <c r="E644" s="2"/>
    </row>
    <row r="645" spans="1:5" ht="15.7" customHeight="1" x14ac:dyDescent="0.3">
      <c r="A645" s="2"/>
      <c r="B645" s="2"/>
      <c r="C645" s="2"/>
      <c r="D645" s="2"/>
      <c r="E645" s="2"/>
    </row>
    <row r="646" spans="1:5" ht="15.7" customHeight="1" x14ac:dyDescent="0.3">
      <c r="A646" s="2"/>
      <c r="B646" s="2"/>
      <c r="C646" s="2"/>
      <c r="D646" s="2"/>
      <c r="E646" s="2"/>
    </row>
    <row r="647" spans="1:5" ht="15.7" customHeight="1" x14ac:dyDescent="0.3">
      <c r="A647" s="2"/>
      <c r="B647" s="2"/>
      <c r="C647" s="2"/>
      <c r="D647" s="2"/>
      <c r="E647" s="2"/>
    </row>
    <row r="648" spans="1:5" ht="15.7" customHeight="1" x14ac:dyDescent="0.3">
      <c r="A648" s="2"/>
      <c r="B648" s="2"/>
      <c r="C648" s="2"/>
      <c r="D648" s="2"/>
      <c r="E648" s="2"/>
    </row>
    <row r="649" spans="1:5" ht="15.7" customHeight="1" x14ac:dyDescent="0.3">
      <c r="A649" s="2"/>
      <c r="B649" s="2"/>
      <c r="C649" s="2"/>
      <c r="D649" s="2"/>
      <c r="E649" s="2"/>
    </row>
    <row r="650" spans="1:5" ht="15.7" customHeight="1" x14ac:dyDescent="0.3">
      <c r="A650" s="2"/>
      <c r="B650" s="2"/>
      <c r="C650" s="2"/>
      <c r="D650" s="2"/>
      <c r="E650" s="2"/>
    </row>
    <row r="651" spans="1:5" ht="15.7" customHeight="1" x14ac:dyDescent="0.3">
      <c r="A651" s="2"/>
      <c r="B651" s="2"/>
      <c r="C651" s="2"/>
      <c r="D651" s="2"/>
      <c r="E651" s="2"/>
    </row>
    <row r="652" spans="1:5" ht="15.7" customHeight="1" x14ac:dyDescent="0.3">
      <c r="A652" s="2"/>
      <c r="B652" s="2"/>
      <c r="C652" s="2"/>
      <c r="D652" s="2"/>
      <c r="E652" s="2"/>
    </row>
    <row r="653" spans="1:5" ht="15.7" customHeight="1" x14ac:dyDescent="0.3">
      <c r="A653" s="2"/>
      <c r="B653" s="2"/>
      <c r="C653" s="2"/>
      <c r="D653" s="2"/>
      <c r="E653" s="2"/>
    </row>
    <row r="654" spans="1:5" ht="15.7" customHeight="1" x14ac:dyDescent="0.3">
      <c r="A654" s="2"/>
      <c r="B654" s="2"/>
      <c r="C654" s="2"/>
      <c r="D654" s="2"/>
      <c r="E654" s="2"/>
    </row>
    <row r="655" spans="1:5" ht="15.7" customHeight="1" x14ac:dyDescent="0.3">
      <c r="A655" s="2"/>
      <c r="B655" s="2"/>
      <c r="C655" s="2"/>
      <c r="D655" s="2"/>
      <c r="E655" s="2"/>
    </row>
    <row r="656" spans="1:5" ht="15.7" customHeight="1" x14ac:dyDescent="0.3">
      <c r="A656" s="2"/>
      <c r="B656" s="2"/>
      <c r="C656" s="2"/>
      <c r="D656" s="2"/>
      <c r="E656" s="2"/>
    </row>
    <row r="657" spans="1:5" ht="15.7" customHeight="1" x14ac:dyDescent="0.3">
      <c r="A657" s="2"/>
      <c r="B657" s="2"/>
      <c r="C657" s="2"/>
      <c r="D657" s="2"/>
      <c r="E657" s="2"/>
    </row>
    <row r="658" spans="1:5" ht="15.7" customHeight="1" x14ac:dyDescent="0.3">
      <c r="A658" s="2"/>
      <c r="B658" s="2"/>
      <c r="C658" s="2"/>
      <c r="D658" s="2"/>
      <c r="E658" s="2"/>
    </row>
    <row r="659" spans="1:5" ht="15.7" customHeight="1" x14ac:dyDescent="0.3">
      <c r="A659" s="2"/>
      <c r="B659" s="2"/>
      <c r="C659" s="2"/>
      <c r="D659" s="2"/>
      <c r="E659" s="2"/>
    </row>
    <row r="660" spans="1:5" ht="15.7" customHeight="1" x14ac:dyDescent="0.3">
      <c r="A660" s="2"/>
      <c r="B660" s="2"/>
      <c r="C660" s="2"/>
      <c r="D660" s="2"/>
      <c r="E660" s="2"/>
    </row>
    <row r="661" spans="1:5" ht="15.7" customHeight="1" x14ac:dyDescent="0.3">
      <c r="A661" s="2"/>
      <c r="B661" s="2"/>
      <c r="C661" s="2"/>
      <c r="D661" s="2"/>
      <c r="E661" s="2"/>
    </row>
    <row r="662" spans="1:5" ht="15.7" customHeight="1" x14ac:dyDescent="0.3">
      <c r="A662" s="2"/>
      <c r="B662" s="2"/>
      <c r="C662" s="2"/>
      <c r="D662" s="2"/>
      <c r="E662" s="2"/>
    </row>
    <row r="663" spans="1:5" ht="15.7" customHeight="1" x14ac:dyDescent="0.3">
      <c r="A663" s="2"/>
      <c r="B663" s="2"/>
      <c r="C663" s="2"/>
      <c r="D663" s="2"/>
      <c r="E663" s="2"/>
    </row>
    <row r="664" spans="1:5" ht="15.7" customHeight="1" x14ac:dyDescent="0.3">
      <c r="A664" s="2"/>
      <c r="B664" s="2"/>
      <c r="C664" s="2"/>
      <c r="D664" s="2"/>
      <c r="E664" s="2"/>
    </row>
    <row r="665" spans="1:5" ht="15.7" customHeight="1" x14ac:dyDescent="0.3">
      <c r="A665" s="2"/>
      <c r="B665" s="2"/>
      <c r="C665" s="2"/>
      <c r="D665" s="2"/>
      <c r="E665" s="2"/>
    </row>
    <row r="666" spans="1:5" ht="15.7" customHeight="1" x14ac:dyDescent="0.3">
      <c r="A666" s="2"/>
      <c r="B666" s="2"/>
      <c r="C666" s="2"/>
      <c r="D666" s="2"/>
      <c r="E666" s="2"/>
    </row>
    <row r="667" spans="1:5" ht="15.7" customHeight="1" x14ac:dyDescent="0.3">
      <c r="A667" s="2"/>
      <c r="B667" s="2"/>
      <c r="C667" s="2"/>
      <c r="D667" s="2"/>
      <c r="E667" s="2"/>
    </row>
    <row r="668" spans="1:5" ht="15.7" customHeight="1" x14ac:dyDescent="0.3">
      <c r="A668" s="2"/>
      <c r="B668" s="2"/>
      <c r="C668" s="2"/>
      <c r="D668" s="2"/>
      <c r="E668" s="2"/>
    </row>
    <row r="669" spans="1:5" ht="15.7" customHeight="1" x14ac:dyDescent="0.3">
      <c r="A669" s="2"/>
      <c r="B669" s="2"/>
      <c r="C669" s="2"/>
      <c r="D669" s="2"/>
      <c r="E669" s="2"/>
    </row>
    <row r="670" spans="1:5" ht="15.7" customHeight="1" x14ac:dyDescent="0.3">
      <c r="A670" s="2"/>
      <c r="B670" s="2"/>
      <c r="C670" s="2"/>
      <c r="D670" s="2"/>
      <c r="E670" s="2"/>
    </row>
    <row r="671" spans="1:5" ht="15.7" customHeight="1" x14ac:dyDescent="0.3">
      <c r="A671" s="2"/>
      <c r="B671" s="2"/>
      <c r="C671" s="2"/>
      <c r="D671" s="2"/>
      <c r="E671" s="2"/>
    </row>
    <row r="672" spans="1:5" ht="15.7" customHeight="1" x14ac:dyDescent="0.3">
      <c r="A672" s="2"/>
      <c r="B672" s="2"/>
      <c r="C672" s="2"/>
      <c r="D672" s="2"/>
      <c r="E672" s="2"/>
    </row>
    <row r="673" spans="1:5" ht="15.7" customHeight="1" x14ac:dyDescent="0.3">
      <c r="A673" s="2"/>
      <c r="B673" s="2"/>
      <c r="C673" s="2"/>
      <c r="D673" s="2"/>
      <c r="E673" s="2"/>
    </row>
    <row r="674" spans="1:5" ht="15.7" customHeight="1" x14ac:dyDescent="0.3">
      <c r="A674" s="2"/>
      <c r="B674" s="2"/>
      <c r="C674" s="2"/>
      <c r="D674" s="2"/>
      <c r="E674" s="2"/>
    </row>
    <row r="675" spans="1:5" ht="15.7" customHeight="1" x14ac:dyDescent="0.3">
      <c r="A675" s="2"/>
      <c r="B675" s="2"/>
      <c r="C675" s="2"/>
      <c r="D675" s="2"/>
      <c r="E675" s="2"/>
    </row>
    <row r="676" spans="1:5" ht="15.7" customHeight="1" x14ac:dyDescent="0.3">
      <c r="A676" s="2"/>
      <c r="B676" s="2"/>
      <c r="C676" s="2"/>
      <c r="D676" s="2"/>
      <c r="E676" s="2"/>
    </row>
    <row r="677" spans="1:5" ht="15.7" customHeight="1" x14ac:dyDescent="0.3">
      <c r="A677" s="2"/>
      <c r="B677" s="2"/>
      <c r="C677" s="2"/>
      <c r="D677" s="2"/>
      <c r="E677" s="2"/>
    </row>
    <row r="678" spans="1:5" ht="15.7" customHeight="1" x14ac:dyDescent="0.3">
      <c r="A678" s="2"/>
      <c r="B678" s="2"/>
      <c r="C678" s="2"/>
      <c r="D678" s="2"/>
      <c r="E678" s="2"/>
    </row>
    <row r="679" spans="1:5" ht="15.7" customHeight="1" x14ac:dyDescent="0.3">
      <c r="A679" s="2"/>
      <c r="B679" s="2"/>
      <c r="C679" s="2"/>
      <c r="D679" s="2"/>
      <c r="E679" s="2"/>
    </row>
    <row r="680" spans="1:5" ht="15.7" customHeight="1" x14ac:dyDescent="0.3">
      <c r="A680" s="2"/>
      <c r="B680" s="2"/>
      <c r="C680" s="2"/>
      <c r="D680" s="2"/>
      <c r="E680" s="2"/>
    </row>
    <row r="681" spans="1:5" ht="15.7" customHeight="1" x14ac:dyDescent="0.3">
      <c r="A681" s="2"/>
      <c r="B681" s="2"/>
      <c r="C681" s="2"/>
      <c r="D681" s="2"/>
      <c r="E681" s="2"/>
    </row>
    <row r="682" spans="1:5" ht="15.7" customHeight="1" x14ac:dyDescent="0.3">
      <c r="A682" s="2"/>
      <c r="B682" s="2"/>
      <c r="C682" s="2"/>
      <c r="D682" s="2"/>
      <c r="E682" s="2"/>
    </row>
    <row r="683" spans="1:5" ht="15.7" customHeight="1" x14ac:dyDescent="0.3">
      <c r="A683" s="2"/>
      <c r="B683" s="2"/>
      <c r="C683" s="2"/>
      <c r="D683" s="2"/>
      <c r="E683" s="2"/>
    </row>
    <row r="684" spans="1:5" ht="15.7" customHeight="1" x14ac:dyDescent="0.3">
      <c r="A684" s="2"/>
      <c r="B684" s="2"/>
      <c r="C684" s="2"/>
      <c r="D684" s="2"/>
      <c r="E684" s="2"/>
    </row>
    <row r="685" spans="1:5" ht="15.7" customHeight="1" x14ac:dyDescent="0.3">
      <c r="A685" s="2"/>
      <c r="B685" s="2"/>
      <c r="C685" s="2"/>
      <c r="D685" s="2"/>
      <c r="E685" s="2"/>
    </row>
    <row r="686" spans="1:5" ht="15.7" customHeight="1" x14ac:dyDescent="0.3">
      <c r="A686" s="2"/>
      <c r="B686" s="2"/>
      <c r="C686" s="2"/>
      <c r="D686" s="2"/>
      <c r="E686" s="2"/>
    </row>
    <row r="687" spans="1:5" ht="15.7" customHeight="1" x14ac:dyDescent="0.3">
      <c r="A687" s="2"/>
      <c r="B687" s="2"/>
      <c r="C687" s="2"/>
      <c r="D687" s="2"/>
      <c r="E687" s="2"/>
    </row>
    <row r="688" spans="1:5" ht="15.7" customHeight="1" x14ac:dyDescent="0.3">
      <c r="A688" s="2"/>
      <c r="B688" s="2"/>
      <c r="C688" s="2"/>
      <c r="D688" s="2"/>
      <c r="E688" s="2"/>
    </row>
    <row r="689" spans="1:5" ht="15.7" customHeight="1" x14ac:dyDescent="0.3">
      <c r="A689" s="2"/>
      <c r="B689" s="2"/>
      <c r="C689" s="2"/>
      <c r="D689" s="2"/>
      <c r="E689" s="2"/>
    </row>
    <row r="690" spans="1:5" ht="15.7" customHeight="1" x14ac:dyDescent="0.3">
      <c r="A690" s="2"/>
      <c r="B690" s="2"/>
      <c r="C690" s="2"/>
      <c r="D690" s="2"/>
      <c r="E690" s="2"/>
    </row>
    <row r="691" spans="1:5" ht="15.7" customHeight="1" x14ac:dyDescent="0.3">
      <c r="A691" s="2"/>
      <c r="B691" s="2"/>
      <c r="C691" s="2"/>
      <c r="D691" s="2"/>
      <c r="E691" s="2"/>
    </row>
    <row r="692" spans="1:5" ht="15.7" customHeight="1" x14ac:dyDescent="0.3">
      <c r="A692" s="2"/>
      <c r="B692" s="2"/>
      <c r="C692" s="2"/>
      <c r="D692" s="2"/>
      <c r="E692" s="2"/>
    </row>
    <row r="693" spans="1:5" ht="15.7" customHeight="1" x14ac:dyDescent="0.3">
      <c r="A693" s="2"/>
      <c r="B693" s="2"/>
      <c r="C693" s="2"/>
      <c r="D693" s="2"/>
      <c r="E693" s="2"/>
    </row>
    <row r="694" spans="1:5" ht="15.7" customHeight="1" x14ac:dyDescent="0.3">
      <c r="A694" s="2"/>
      <c r="B694" s="2"/>
      <c r="C694" s="2"/>
      <c r="D694" s="2"/>
      <c r="E694" s="2"/>
    </row>
    <row r="695" spans="1:5" ht="15.7" customHeight="1" x14ac:dyDescent="0.3">
      <c r="A695" s="2"/>
      <c r="B695" s="2"/>
      <c r="C695" s="2"/>
      <c r="D695" s="2"/>
      <c r="E695" s="2"/>
    </row>
    <row r="696" spans="1:5" ht="15.7" customHeight="1" x14ac:dyDescent="0.3">
      <c r="A696" s="2"/>
      <c r="B696" s="2"/>
      <c r="C696" s="2"/>
      <c r="D696" s="2"/>
      <c r="E696" s="2"/>
    </row>
    <row r="697" spans="1:5" ht="15.7" customHeight="1" x14ac:dyDescent="0.3">
      <c r="A697" s="2"/>
      <c r="B697" s="2"/>
      <c r="C697" s="2"/>
      <c r="D697" s="2"/>
      <c r="E697" s="2"/>
    </row>
    <row r="698" spans="1:5" ht="15.7" customHeight="1" x14ac:dyDescent="0.3">
      <c r="A698" s="2"/>
      <c r="B698" s="2"/>
      <c r="C698" s="2"/>
      <c r="D698" s="2"/>
      <c r="E698" s="2"/>
    </row>
    <row r="699" spans="1:5" ht="15.7" customHeight="1" x14ac:dyDescent="0.3">
      <c r="A699" s="2"/>
      <c r="B699" s="2"/>
      <c r="C699" s="2"/>
      <c r="D699" s="2"/>
      <c r="E699" s="2"/>
    </row>
    <row r="700" spans="1:5" ht="15.7" customHeight="1" x14ac:dyDescent="0.3">
      <c r="A700" s="2"/>
      <c r="B700" s="2"/>
      <c r="C700" s="2"/>
      <c r="D700" s="2"/>
      <c r="E700" s="2"/>
    </row>
    <row r="701" spans="1:5" ht="15.7" customHeight="1" x14ac:dyDescent="0.3">
      <c r="A701" s="2"/>
      <c r="B701" s="2"/>
      <c r="C701" s="2"/>
      <c r="D701" s="2"/>
      <c r="E701" s="2"/>
    </row>
    <row r="702" spans="1:5" ht="15.7" customHeight="1" x14ac:dyDescent="0.3">
      <c r="A702" s="2"/>
      <c r="B702" s="2"/>
      <c r="C702" s="2"/>
      <c r="D702" s="2"/>
      <c r="E702" s="2"/>
    </row>
    <row r="703" spans="1:5" ht="15.7" customHeight="1" x14ac:dyDescent="0.3">
      <c r="A703" s="2"/>
      <c r="B703" s="2"/>
      <c r="C703" s="2"/>
      <c r="D703" s="2"/>
      <c r="E703" s="2"/>
    </row>
    <row r="704" spans="1:5" ht="15.7" customHeight="1" x14ac:dyDescent="0.3">
      <c r="A704" s="2"/>
      <c r="B704" s="2"/>
      <c r="C704" s="2"/>
      <c r="D704" s="2"/>
      <c r="E704" s="2"/>
    </row>
    <row r="705" spans="1:5" ht="15.7" customHeight="1" x14ac:dyDescent="0.3">
      <c r="A705" s="2"/>
      <c r="B705" s="2"/>
      <c r="C705" s="2"/>
      <c r="D705" s="2"/>
      <c r="E705" s="2"/>
    </row>
    <row r="706" spans="1:5" ht="15.7" customHeight="1" x14ac:dyDescent="0.3">
      <c r="A706" s="2"/>
      <c r="B706" s="2"/>
      <c r="C706" s="2"/>
      <c r="D706" s="2"/>
      <c r="E706" s="2"/>
    </row>
    <row r="707" spans="1:5" ht="15.7" customHeight="1" x14ac:dyDescent="0.3">
      <c r="A707" s="2"/>
      <c r="B707" s="2"/>
      <c r="C707" s="2"/>
      <c r="D707" s="2"/>
      <c r="E707" s="2"/>
    </row>
    <row r="708" spans="1:5" ht="15.7" customHeight="1" x14ac:dyDescent="0.3">
      <c r="A708" s="2"/>
      <c r="B708" s="2"/>
      <c r="C708" s="2"/>
      <c r="D708" s="2"/>
      <c r="E708" s="2"/>
    </row>
    <row r="709" spans="1:5" ht="15.7" customHeight="1" x14ac:dyDescent="0.3">
      <c r="A709" s="2"/>
      <c r="B709" s="2"/>
      <c r="C709" s="2"/>
      <c r="D709" s="2"/>
      <c r="E709" s="2"/>
    </row>
    <row r="710" spans="1:5" ht="15.7" customHeight="1" x14ac:dyDescent="0.3">
      <c r="A710" s="2"/>
      <c r="B710" s="2"/>
      <c r="C710" s="2"/>
      <c r="D710" s="2"/>
      <c r="E710" s="2"/>
    </row>
    <row r="711" spans="1:5" ht="15.7" customHeight="1" x14ac:dyDescent="0.3">
      <c r="A711" s="2"/>
      <c r="B711" s="2"/>
      <c r="C711" s="2"/>
      <c r="D711" s="2"/>
      <c r="E711" s="2"/>
    </row>
    <row r="712" spans="1:5" ht="15.7" customHeight="1" x14ac:dyDescent="0.3">
      <c r="A712" s="2"/>
      <c r="B712" s="2"/>
      <c r="C712" s="2"/>
      <c r="D712" s="2"/>
      <c r="E712" s="2"/>
    </row>
    <row r="713" spans="1:5" ht="15.7" customHeight="1" x14ac:dyDescent="0.3">
      <c r="A713" s="2"/>
      <c r="B713" s="2"/>
      <c r="C713" s="2"/>
      <c r="D713" s="2"/>
      <c r="E713" s="2"/>
    </row>
    <row r="714" spans="1:5" ht="15.7" customHeight="1" x14ac:dyDescent="0.3">
      <c r="A714" s="2"/>
      <c r="B714" s="2"/>
      <c r="C714" s="2"/>
      <c r="D714" s="2"/>
      <c r="E714" s="2"/>
    </row>
    <row r="715" spans="1:5" ht="15.7" customHeight="1" x14ac:dyDescent="0.3">
      <c r="A715" s="2"/>
      <c r="B715" s="2"/>
      <c r="C715" s="2"/>
      <c r="D715" s="2"/>
      <c r="E715" s="2"/>
    </row>
    <row r="716" spans="1:5" ht="15.7" customHeight="1" x14ac:dyDescent="0.3">
      <c r="A716" s="2"/>
      <c r="B716" s="2"/>
      <c r="C716" s="2"/>
      <c r="D716" s="2"/>
      <c r="E716" s="2"/>
    </row>
    <row r="717" spans="1:5" ht="15.7" customHeight="1" x14ac:dyDescent="0.3">
      <c r="A717" s="2"/>
      <c r="B717" s="2"/>
      <c r="C717" s="2"/>
      <c r="D717" s="2"/>
      <c r="E717" s="2"/>
    </row>
    <row r="718" spans="1:5" ht="15.7" customHeight="1" x14ac:dyDescent="0.3">
      <c r="A718" s="2"/>
      <c r="B718" s="2"/>
      <c r="C718" s="2"/>
      <c r="D718" s="2"/>
      <c r="E718" s="2"/>
    </row>
    <row r="719" spans="1:5" ht="15.7" customHeight="1" x14ac:dyDescent="0.3">
      <c r="A719" s="2"/>
      <c r="B719" s="2"/>
      <c r="C719" s="2"/>
      <c r="D719" s="2"/>
      <c r="E719" s="2"/>
    </row>
    <row r="720" spans="1:5" ht="15.7" customHeight="1" x14ac:dyDescent="0.3">
      <c r="A720" s="2"/>
      <c r="B720" s="2"/>
      <c r="C720" s="2"/>
      <c r="D720" s="2"/>
      <c r="E720" s="2"/>
    </row>
    <row r="721" spans="1:5" ht="15.7" customHeight="1" x14ac:dyDescent="0.3">
      <c r="A721" s="2"/>
      <c r="B721" s="2"/>
      <c r="C721" s="2"/>
      <c r="D721" s="2"/>
      <c r="E721" s="2"/>
    </row>
    <row r="722" spans="1:5" ht="15.7" customHeight="1" x14ac:dyDescent="0.3">
      <c r="A722" s="2"/>
      <c r="B722" s="2"/>
      <c r="C722" s="2"/>
      <c r="D722" s="2"/>
      <c r="E722" s="2"/>
    </row>
    <row r="723" spans="1:5" ht="15.7" customHeight="1" x14ac:dyDescent="0.3">
      <c r="A723" s="2"/>
      <c r="B723" s="2"/>
      <c r="C723" s="2"/>
      <c r="D723" s="2"/>
      <c r="E723" s="2"/>
    </row>
    <row r="724" spans="1:5" ht="15.7" customHeight="1" x14ac:dyDescent="0.3">
      <c r="A724" s="2"/>
      <c r="B724" s="2"/>
      <c r="C724" s="2"/>
      <c r="D724" s="2"/>
      <c r="E724" s="2"/>
    </row>
    <row r="725" spans="1:5" ht="15.7" customHeight="1" x14ac:dyDescent="0.3">
      <c r="A725" s="2"/>
      <c r="B725" s="2"/>
      <c r="C725" s="2"/>
      <c r="D725" s="2"/>
      <c r="E725" s="2"/>
    </row>
    <row r="726" spans="1:5" ht="15.7" customHeight="1" x14ac:dyDescent="0.3">
      <c r="A726" s="2"/>
      <c r="B726" s="2"/>
      <c r="C726" s="2"/>
      <c r="D726" s="2"/>
      <c r="E726" s="2"/>
    </row>
    <row r="727" spans="1:5" ht="15.7" customHeight="1" x14ac:dyDescent="0.3">
      <c r="A727" s="2"/>
      <c r="B727" s="2"/>
      <c r="C727" s="2"/>
      <c r="D727" s="2"/>
      <c r="E727" s="2"/>
    </row>
    <row r="728" spans="1:5" ht="15.7" customHeight="1" x14ac:dyDescent="0.3">
      <c r="A728" s="2"/>
      <c r="B728" s="2"/>
      <c r="C728" s="2"/>
      <c r="D728" s="2"/>
      <c r="E728" s="2"/>
    </row>
    <row r="729" spans="1:5" ht="15.7" customHeight="1" x14ac:dyDescent="0.3">
      <c r="A729" s="2"/>
      <c r="B729" s="2"/>
      <c r="C729" s="2"/>
      <c r="D729" s="2"/>
      <c r="E729" s="2"/>
    </row>
    <row r="730" spans="1:5" ht="15.7" customHeight="1" x14ac:dyDescent="0.3">
      <c r="A730" s="2"/>
      <c r="B730" s="2"/>
      <c r="C730" s="2"/>
      <c r="D730" s="2"/>
      <c r="E730" s="2"/>
    </row>
    <row r="731" spans="1:5" ht="15.7" customHeight="1" x14ac:dyDescent="0.3">
      <c r="A731" s="2"/>
      <c r="B731" s="2"/>
      <c r="C731" s="2"/>
      <c r="D731" s="2"/>
      <c r="E731" s="2"/>
    </row>
    <row r="732" spans="1:5" ht="15.7" customHeight="1" x14ac:dyDescent="0.3">
      <c r="A732" s="2"/>
      <c r="B732" s="2"/>
      <c r="C732" s="2"/>
      <c r="D732" s="2"/>
      <c r="E732" s="2"/>
    </row>
    <row r="733" spans="1:5" ht="15.7" customHeight="1" x14ac:dyDescent="0.3">
      <c r="A733" s="2"/>
      <c r="B733" s="2"/>
      <c r="C733" s="2"/>
      <c r="D733" s="2"/>
      <c r="E733" s="2"/>
    </row>
    <row r="734" spans="1:5" ht="15.7" customHeight="1" x14ac:dyDescent="0.3">
      <c r="A734" s="2"/>
      <c r="B734" s="2"/>
      <c r="C734" s="2"/>
      <c r="D734" s="2"/>
      <c r="E734" s="2"/>
    </row>
    <row r="735" spans="1:5" ht="15.7" customHeight="1" x14ac:dyDescent="0.3">
      <c r="A735" s="2"/>
      <c r="B735" s="2"/>
      <c r="C735" s="2"/>
      <c r="D735" s="2"/>
      <c r="E735" s="2"/>
    </row>
    <row r="736" spans="1:5" ht="15.7" customHeight="1" x14ac:dyDescent="0.3">
      <c r="A736" s="2"/>
      <c r="B736" s="2"/>
      <c r="C736" s="2"/>
      <c r="D736" s="2"/>
      <c r="E736" s="2"/>
    </row>
    <row r="737" spans="1:5" ht="15.7" customHeight="1" x14ac:dyDescent="0.3">
      <c r="A737" s="2"/>
      <c r="B737" s="2"/>
      <c r="C737" s="2"/>
      <c r="D737" s="2"/>
      <c r="E737" s="2"/>
    </row>
    <row r="738" spans="1:5" ht="15.7" customHeight="1" x14ac:dyDescent="0.3">
      <c r="A738" s="2"/>
      <c r="B738" s="2"/>
      <c r="C738" s="2"/>
      <c r="D738" s="2"/>
      <c r="E738" s="2"/>
    </row>
    <row r="739" spans="1:5" ht="15.7" customHeight="1" x14ac:dyDescent="0.3">
      <c r="A739" s="2"/>
      <c r="B739" s="2"/>
      <c r="C739" s="2"/>
      <c r="D739" s="2"/>
      <c r="E739" s="2"/>
    </row>
    <row r="740" spans="1:5" ht="15.7" customHeight="1" x14ac:dyDescent="0.3">
      <c r="A740" s="2"/>
      <c r="B740" s="2"/>
      <c r="C740" s="2"/>
      <c r="D740" s="2"/>
      <c r="E740" s="2"/>
    </row>
    <row r="741" spans="1:5" ht="15.7" customHeight="1" x14ac:dyDescent="0.3">
      <c r="A741" s="2"/>
      <c r="B741" s="2"/>
      <c r="C741" s="2"/>
      <c r="D741" s="2"/>
      <c r="E741" s="2"/>
    </row>
    <row r="742" spans="1:5" ht="15.7" customHeight="1" x14ac:dyDescent="0.3">
      <c r="A742" s="2"/>
      <c r="B742" s="2"/>
      <c r="C742" s="2"/>
      <c r="D742" s="2"/>
      <c r="E742" s="2"/>
    </row>
    <row r="743" spans="1:5" ht="15.7" customHeight="1" x14ac:dyDescent="0.3">
      <c r="A743" s="2"/>
      <c r="B743" s="2"/>
      <c r="C743" s="2"/>
      <c r="D743" s="2"/>
      <c r="E743" s="2"/>
    </row>
    <row r="744" spans="1:5" ht="15.7" customHeight="1" x14ac:dyDescent="0.3">
      <c r="A744" s="2"/>
      <c r="B744" s="2"/>
      <c r="C744" s="2"/>
      <c r="D744" s="2"/>
      <c r="E744" s="2"/>
    </row>
    <row r="745" spans="1:5" ht="15.7" customHeight="1" x14ac:dyDescent="0.3">
      <c r="A745" s="2"/>
      <c r="B745" s="2"/>
      <c r="C745" s="2"/>
      <c r="D745" s="2"/>
      <c r="E745" s="2"/>
    </row>
    <row r="746" spans="1:5" ht="15.7" customHeight="1" x14ac:dyDescent="0.3">
      <c r="A746" s="2"/>
      <c r="B746" s="2"/>
      <c r="C746" s="2"/>
      <c r="D746" s="2"/>
      <c r="E746" s="2"/>
    </row>
    <row r="747" spans="1:5" ht="15.7" customHeight="1" x14ac:dyDescent="0.3">
      <c r="A747" s="2"/>
      <c r="B747" s="2"/>
      <c r="C747" s="2"/>
      <c r="D747" s="2"/>
      <c r="E747" s="2"/>
    </row>
    <row r="748" spans="1:5" ht="15.7" customHeight="1" x14ac:dyDescent="0.3">
      <c r="A748" s="2"/>
      <c r="B748" s="2"/>
      <c r="C748" s="2"/>
      <c r="D748" s="2"/>
      <c r="E748" s="2"/>
    </row>
    <row r="749" spans="1:5" ht="15.7" customHeight="1" x14ac:dyDescent="0.3">
      <c r="A749" s="2"/>
      <c r="B749" s="2"/>
      <c r="C749" s="2"/>
      <c r="D749" s="2"/>
      <c r="E749" s="2"/>
    </row>
    <row r="750" spans="1:5" ht="15.7" customHeight="1" x14ac:dyDescent="0.3">
      <c r="A750" s="2"/>
      <c r="B750" s="2"/>
      <c r="C750" s="2"/>
      <c r="D750" s="2"/>
      <c r="E750" s="2"/>
    </row>
    <row r="751" spans="1:5" ht="15.7" customHeight="1" x14ac:dyDescent="0.3">
      <c r="A751" s="2"/>
      <c r="B751" s="2"/>
      <c r="C751" s="2"/>
      <c r="D751" s="2"/>
      <c r="E751" s="2"/>
    </row>
    <row r="752" spans="1:5" ht="15.7" customHeight="1" x14ac:dyDescent="0.3">
      <c r="A752" s="2"/>
      <c r="B752" s="2"/>
      <c r="C752" s="2"/>
      <c r="D752" s="2"/>
      <c r="E752" s="2"/>
    </row>
    <row r="753" spans="1:5" ht="15.7" customHeight="1" x14ac:dyDescent="0.3">
      <c r="A753" s="2"/>
      <c r="B753" s="2"/>
      <c r="C753" s="2"/>
      <c r="D753" s="2"/>
      <c r="E753" s="2"/>
    </row>
    <row r="754" spans="1:5" ht="15.7" customHeight="1" x14ac:dyDescent="0.3">
      <c r="A754" s="2"/>
      <c r="B754" s="2"/>
      <c r="C754" s="2"/>
      <c r="D754" s="2"/>
      <c r="E754" s="2"/>
    </row>
    <row r="755" spans="1:5" ht="15.7" customHeight="1" x14ac:dyDescent="0.3">
      <c r="A755" s="2"/>
      <c r="B755" s="2"/>
      <c r="C755" s="2"/>
      <c r="D755" s="2"/>
      <c r="E755" s="2"/>
    </row>
    <row r="756" spans="1:5" ht="15.7" customHeight="1" x14ac:dyDescent="0.3">
      <c r="A756" s="2"/>
      <c r="B756" s="2"/>
      <c r="C756" s="2"/>
      <c r="D756" s="2"/>
      <c r="E756" s="2"/>
    </row>
    <row r="757" spans="1:5" ht="15.7" customHeight="1" x14ac:dyDescent="0.3">
      <c r="A757" s="2"/>
      <c r="B757" s="2"/>
      <c r="C757" s="2"/>
      <c r="D757" s="2"/>
      <c r="E757" s="2"/>
    </row>
    <row r="758" spans="1:5" ht="15.7" customHeight="1" x14ac:dyDescent="0.3">
      <c r="A758" s="2"/>
      <c r="B758" s="2"/>
      <c r="C758" s="2"/>
      <c r="D758" s="2"/>
      <c r="E758" s="2"/>
    </row>
    <row r="759" spans="1:5" ht="15.7" customHeight="1" x14ac:dyDescent="0.3">
      <c r="A759" s="2"/>
      <c r="B759" s="2"/>
      <c r="C759" s="2"/>
      <c r="D759" s="2"/>
      <c r="E759" s="2"/>
    </row>
    <row r="760" spans="1:5" ht="15.7" customHeight="1" x14ac:dyDescent="0.3">
      <c r="A760" s="2"/>
      <c r="B760" s="2"/>
      <c r="C760" s="2"/>
      <c r="D760" s="2"/>
      <c r="E760" s="2"/>
    </row>
    <row r="761" spans="1:5" ht="15.7" customHeight="1" x14ac:dyDescent="0.3">
      <c r="A761" s="2"/>
      <c r="B761" s="2"/>
      <c r="C761" s="2"/>
      <c r="D761" s="2"/>
      <c r="E761" s="2"/>
    </row>
    <row r="762" spans="1:5" ht="15.7" customHeight="1" x14ac:dyDescent="0.3">
      <c r="A762" s="2"/>
      <c r="B762" s="2"/>
      <c r="C762" s="2"/>
      <c r="D762" s="2"/>
      <c r="E762" s="2"/>
    </row>
    <row r="763" spans="1:5" ht="15.7" customHeight="1" x14ac:dyDescent="0.3">
      <c r="A763" s="2"/>
      <c r="B763" s="2"/>
      <c r="C763" s="2"/>
      <c r="D763" s="2"/>
      <c r="E763" s="2"/>
    </row>
    <row r="764" spans="1:5" ht="15.7" customHeight="1" x14ac:dyDescent="0.3">
      <c r="A764" s="2"/>
      <c r="B764" s="2"/>
      <c r="C764" s="2"/>
      <c r="D764" s="2"/>
      <c r="E764" s="2"/>
    </row>
    <row r="765" spans="1:5" ht="15.7" customHeight="1" x14ac:dyDescent="0.3">
      <c r="A765" s="2"/>
      <c r="B765" s="2"/>
      <c r="C765" s="2"/>
      <c r="D765" s="2"/>
      <c r="E765" s="2"/>
    </row>
    <row r="766" spans="1:5" ht="15.7" customHeight="1" x14ac:dyDescent="0.3">
      <c r="A766" s="2"/>
      <c r="B766" s="2"/>
      <c r="C766" s="2"/>
      <c r="D766" s="2"/>
      <c r="E766" s="2"/>
    </row>
    <row r="767" spans="1:5" ht="15.7" customHeight="1" x14ac:dyDescent="0.3">
      <c r="A767" s="2"/>
      <c r="B767" s="2"/>
      <c r="C767" s="2"/>
      <c r="D767" s="2"/>
      <c r="E767" s="2"/>
    </row>
    <row r="768" spans="1:5" ht="15.7" customHeight="1" x14ac:dyDescent="0.3">
      <c r="A768" s="2"/>
      <c r="B768" s="2"/>
      <c r="C768" s="2"/>
      <c r="D768" s="2"/>
      <c r="E768" s="2"/>
    </row>
    <row r="769" spans="1:5" ht="15.7" customHeight="1" x14ac:dyDescent="0.3">
      <c r="A769" s="2"/>
      <c r="B769" s="2"/>
      <c r="C769" s="2"/>
      <c r="D769" s="2"/>
      <c r="E769" s="2"/>
    </row>
    <row r="770" spans="1:5" ht="15.7" customHeight="1" x14ac:dyDescent="0.3">
      <c r="A770" s="2"/>
      <c r="B770" s="2"/>
      <c r="C770" s="2"/>
      <c r="D770" s="2"/>
      <c r="E770" s="2"/>
    </row>
    <row r="771" spans="1:5" ht="15.7" customHeight="1" x14ac:dyDescent="0.3">
      <c r="A771" s="2"/>
      <c r="B771" s="2"/>
      <c r="C771" s="2"/>
      <c r="D771" s="2"/>
      <c r="E771" s="2"/>
    </row>
    <row r="772" spans="1:5" ht="15.7" customHeight="1" x14ac:dyDescent="0.3">
      <c r="A772" s="2"/>
      <c r="B772" s="2"/>
      <c r="C772" s="2"/>
      <c r="D772" s="2"/>
      <c r="E772" s="2"/>
    </row>
    <row r="773" spans="1:5" ht="15.7" customHeight="1" x14ac:dyDescent="0.3">
      <c r="A773" s="2"/>
      <c r="B773" s="2"/>
      <c r="C773" s="2"/>
      <c r="D773" s="2"/>
      <c r="E773" s="2"/>
    </row>
    <row r="774" spans="1:5" ht="15.7" customHeight="1" x14ac:dyDescent="0.3">
      <c r="A774" s="2"/>
      <c r="B774" s="2"/>
      <c r="C774" s="2"/>
      <c r="D774" s="2"/>
      <c r="E774" s="2"/>
    </row>
    <row r="775" spans="1:5" ht="15.7" customHeight="1" x14ac:dyDescent="0.3">
      <c r="A775" s="2"/>
      <c r="B775" s="2"/>
      <c r="C775" s="2"/>
      <c r="D775" s="2"/>
      <c r="E775" s="2"/>
    </row>
    <row r="776" spans="1:5" ht="15.7" customHeight="1" x14ac:dyDescent="0.3">
      <c r="A776" s="2"/>
      <c r="B776" s="2"/>
      <c r="C776" s="2"/>
      <c r="D776" s="2"/>
      <c r="E776" s="2"/>
    </row>
    <row r="777" spans="1:5" ht="15.7" customHeight="1" x14ac:dyDescent="0.3">
      <c r="A777" s="2"/>
      <c r="B777" s="2"/>
      <c r="C777" s="2"/>
      <c r="D777" s="2"/>
      <c r="E777" s="2"/>
    </row>
    <row r="778" spans="1:5" ht="15.7" customHeight="1" x14ac:dyDescent="0.3">
      <c r="A778" s="2"/>
      <c r="B778" s="2"/>
      <c r="C778" s="2"/>
      <c r="D778" s="2"/>
      <c r="E778" s="2"/>
    </row>
    <row r="779" spans="1:5" ht="15.7" customHeight="1" x14ac:dyDescent="0.3">
      <c r="A779" s="2"/>
      <c r="B779" s="2"/>
      <c r="C779" s="2"/>
      <c r="D779" s="2"/>
      <c r="E779" s="2"/>
    </row>
    <row r="780" spans="1:5" ht="15.7" customHeight="1" x14ac:dyDescent="0.3">
      <c r="A780" s="2"/>
      <c r="B780" s="2"/>
      <c r="C780" s="2"/>
      <c r="D780" s="2"/>
      <c r="E780" s="2"/>
    </row>
    <row r="781" spans="1:5" ht="15.7" customHeight="1" x14ac:dyDescent="0.3">
      <c r="A781" s="2"/>
      <c r="B781" s="2"/>
      <c r="C781" s="2"/>
      <c r="D781" s="2"/>
      <c r="E781" s="2"/>
    </row>
    <row r="782" spans="1:5" ht="15.7" customHeight="1" x14ac:dyDescent="0.3">
      <c r="A782" s="2"/>
      <c r="B782" s="2"/>
      <c r="C782" s="2"/>
      <c r="D782" s="2"/>
      <c r="E782" s="2"/>
    </row>
    <row r="783" spans="1:5" ht="15.7" customHeight="1" x14ac:dyDescent="0.3">
      <c r="A783" s="2"/>
      <c r="B783" s="2"/>
      <c r="C783" s="2"/>
      <c r="D783" s="2"/>
      <c r="E783" s="2"/>
    </row>
    <row r="784" spans="1:5" ht="15.7" customHeight="1" x14ac:dyDescent="0.3">
      <c r="A784" s="2"/>
      <c r="B784" s="2"/>
      <c r="C784" s="2"/>
      <c r="D784" s="2"/>
      <c r="E784" s="2"/>
    </row>
    <row r="785" spans="1:5" ht="15.7" customHeight="1" x14ac:dyDescent="0.3">
      <c r="A785" s="2"/>
      <c r="B785" s="2"/>
      <c r="C785" s="2"/>
      <c r="D785" s="2"/>
      <c r="E785" s="2"/>
    </row>
    <row r="786" spans="1:5" ht="15.7" customHeight="1" x14ac:dyDescent="0.3">
      <c r="A786" s="2"/>
      <c r="B786" s="2"/>
      <c r="C786" s="2"/>
      <c r="D786" s="2"/>
      <c r="E786" s="2"/>
    </row>
    <row r="787" spans="1:5" ht="15.7" customHeight="1" x14ac:dyDescent="0.3">
      <c r="A787" s="2"/>
      <c r="B787" s="2"/>
      <c r="C787" s="2"/>
      <c r="D787" s="2"/>
      <c r="E787" s="2"/>
    </row>
    <row r="788" spans="1:5" ht="15.7" customHeight="1" x14ac:dyDescent="0.3">
      <c r="A788" s="2"/>
      <c r="B788" s="2"/>
      <c r="C788" s="2"/>
      <c r="D788" s="2"/>
      <c r="E788" s="2"/>
    </row>
    <row r="789" spans="1:5" ht="15.7" customHeight="1" x14ac:dyDescent="0.3">
      <c r="A789" s="2"/>
      <c r="B789" s="2"/>
      <c r="C789" s="2"/>
      <c r="D789" s="2"/>
      <c r="E789" s="2"/>
    </row>
    <row r="790" spans="1:5" ht="15.7" customHeight="1" x14ac:dyDescent="0.3">
      <c r="A790" s="2"/>
      <c r="B790" s="2"/>
      <c r="C790" s="2"/>
      <c r="D790" s="2"/>
      <c r="E790" s="2"/>
    </row>
    <row r="791" spans="1:5" ht="15.7" customHeight="1" x14ac:dyDescent="0.3">
      <c r="A791" s="2"/>
      <c r="B791" s="2"/>
      <c r="C791" s="2"/>
      <c r="D791" s="2"/>
      <c r="E791" s="2"/>
    </row>
    <row r="792" spans="1:5" ht="15.7" customHeight="1" x14ac:dyDescent="0.3">
      <c r="A792" s="2"/>
      <c r="B792" s="2"/>
      <c r="C792" s="2"/>
      <c r="D792" s="2"/>
      <c r="E792" s="2"/>
    </row>
    <row r="793" spans="1:5" ht="15.7" customHeight="1" x14ac:dyDescent="0.3">
      <c r="A793" s="2"/>
      <c r="B793" s="2"/>
      <c r="C793" s="2"/>
      <c r="D793" s="2"/>
      <c r="E793" s="2"/>
    </row>
    <row r="794" spans="1:5" ht="15.7" customHeight="1" x14ac:dyDescent="0.3">
      <c r="A794" s="2"/>
      <c r="B794" s="2"/>
      <c r="C794" s="2"/>
      <c r="D794" s="2"/>
      <c r="E794" s="2"/>
    </row>
    <row r="795" spans="1:5" ht="15.7" customHeight="1" x14ac:dyDescent="0.3">
      <c r="A795" s="2"/>
      <c r="B795" s="2"/>
      <c r="C795" s="2"/>
      <c r="D795" s="2"/>
      <c r="E795" s="2"/>
    </row>
    <row r="796" spans="1:5" ht="15.7" customHeight="1" x14ac:dyDescent="0.3">
      <c r="A796" s="2"/>
      <c r="B796" s="2"/>
      <c r="C796" s="2"/>
      <c r="D796" s="2"/>
      <c r="E796" s="2"/>
    </row>
    <row r="797" spans="1:5" ht="15.7" customHeight="1" x14ac:dyDescent="0.3">
      <c r="A797" s="2"/>
      <c r="B797" s="2"/>
      <c r="C797" s="2"/>
      <c r="D797" s="2"/>
      <c r="E797" s="2"/>
    </row>
    <row r="798" spans="1:5" ht="15.7" customHeight="1" x14ac:dyDescent="0.3">
      <c r="A798" s="2"/>
      <c r="B798" s="2"/>
      <c r="C798" s="2"/>
      <c r="D798" s="2"/>
      <c r="E798" s="2"/>
    </row>
    <row r="799" spans="1:5" ht="15.7" customHeight="1" x14ac:dyDescent="0.3">
      <c r="A799" s="2"/>
      <c r="B799" s="2"/>
      <c r="C799" s="2"/>
      <c r="D799" s="2"/>
      <c r="E799" s="2"/>
    </row>
    <row r="800" spans="1:5" ht="15.7" customHeight="1" x14ac:dyDescent="0.3">
      <c r="A800" s="2"/>
      <c r="B800" s="2"/>
      <c r="C800" s="2"/>
      <c r="D800" s="2"/>
      <c r="E800" s="2"/>
    </row>
    <row r="801" spans="1:5" ht="15.7" customHeight="1" x14ac:dyDescent="0.3">
      <c r="A801" s="2"/>
      <c r="B801" s="2"/>
      <c r="C801" s="2"/>
      <c r="D801" s="2"/>
      <c r="E801" s="2"/>
    </row>
    <row r="802" spans="1:5" ht="15.7" customHeight="1" x14ac:dyDescent="0.3">
      <c r="A802" s="2"/>
      <c r="B802" s="2"/>
      <c r="C802" s="2"/>
      <c r="D802" s="2"/>
      <c r="E802" s="2"/>
    </row>
    <row r="803" spans="1:5" ht="15.7" customHeight="1" x14ac:dyDescent="0.3">
      <c r="A803" s="2"/>
      <c r="B803" s="2"/>
      <c r="C803" s="2"/>
      <c r="D803" s="2"/>
      <c r="E803" s="2"/>
    </row>
    <row r="804" spans="1:5" ht="15.7" customHeight="1" x14ac:dyDescent="0.3">
      <c r="A804" s="2"/>
      <c r="B804" s="2"/>
      <c r="C804" s="2"/>
      <c r="D804" s="2"/>
      <c r="E804" s="2"/>
    </row>
    <row r="805" spans="1:5" ht="15.7" customHeight="1" x14ac:dyDescent="0.3">
      <c r="A805" s="2"/>
      <c r="B805" s="2"/>
      <c r="C805" s="2"/>
      <c r="D805" s="2"/>
      <c r="E805" s="2"/>
    </row>
    <row r="806" spans="1:5" ht="15.7" customHeight="1" x14ac:dyDescent="0.3">
      <c r="A806" s="2"/>
      <c r="B806" s="2"/>
      <c r="C806" s="2"/>
      <c r="D806" s="2"/>
      <c r="E806" s="2"/>
    </row>
    <row r="807" spans="1:5" ht="15.7" customHeight="1" x14ac:dyDescent="0.3">
      <c r="A807" s="2"/>
      <c r="B807" s="2"/>
      <c r="C807" s="2"/>
      <c r="D807" s="2"/>
      <c r="E807" s="2"/>
    </row>
    <row r="808" spans="1:5" ht="15.7" customHeight="1" x14ac:dyDescent="0.3">
      <c r="A808" s="2"/>
      <c r="B808" s="2"/>
      <c r="C808" s="2"/>
      <c r="D808" s="2"/>
      <c r="E808" s="2"/>
    </row>
    <row r="809" spans="1:5" ht="15.7" customHeight="1" x14ac:dyDescent="0.3">
      <c r="A809" s="2"/>
      <c r="B809" s="2"/>
      <c r="C809" s="2"/>
      <c r="D809" s="2"/>
      <c r="E809" s="2"/>
    </row>
    <row r="810" spans="1:5" ht="15.7" customHeight="1" x14ac:dyDescent="0.3">
      <c r="A810" s="2"/>
      <c r="B810" s="2"/>
      <c r="C810" s="2"/>
      <c r="D810" s="2"/>
      <c r="E810" s="2"/>
    </row>
    <row r="811" spans="1:5" ht="15.7" customHeight="1" x14ac:dyDescent="0.3">
      <c r="A811" s="2"/>
      <c r="B811" s="2"/>
      <c r="C811" s="2"/>
      <c r="D811" s="2"/>
      <c r="E811" s="2"/>
    </row>
    <row r="812" spans="1:5" ht="15.7" customHeight="1" x14ac:dyDescent="0.3">
      <c r="A812" s="2"/>
      <c r="B812" s="2"/>
      <c r="C812" s="2"/>
      <c r="D812" s="2"/>
      <c r="E812" s="2"/>
    </row>
    <row r="813" spans="1:5" ht="15.7" customHeight="1" x14ac:dyDescent="0.3">
      <c r="A813" s="2"/>
      <c r="B813" s="2"/>
      <c r="C813" s="2"/>
      <c r="D813" s="2"/>
      <c r="E813" s="2"/>
    </row>
    <row r="814" spans="1:5" ht="15.7" customHeight="1" x14ac:dyDescent="0.3">
      <c r="A814" s="2"/>
      <c r="B814" s="2"/>
      <c r="C814" s="2"/>
      <c r="D814" s="2"/>
      <c r="E814" s="2"/>
    </row>
    <row r="815" spans="1:5" ht="15.7" customHeight="1" x14ac:dyDescent="0.3">
      <c r="A815" s="2"/>
      <c r="B815" s="2"/>
      <c r="C815" s="2"/>
      <c r="D815" s="2"/>
      <c r="E815" s="2"/>
    </row>
    <row r="816" spans="1:5" ht="15.7" customHeight="1" x14ac:dyDescent="0.3">
      <c r="A816" s="2"/>
      <c r="B816" s="2"/>
      <c r="C816" s="2"/>
      <c r="D816" s="2"/>
      <c r="E816" s="2"/>
    </row>
    <row r="817" spans="1:5" ht="15.7" customHeight="1" x14ac:dyDescent="0.3">
      <c r="A817" s="2"/>
      <c r="B817" s="2"/>
      <c r="C817" s="2"/>
      <c r="D817" s="2"/>
      <c r="E817" s="2"/>
    </row>
    <row r="818" spans="1:5" ht="15.7" customHeight="1" x14ac:dyDescent="0.3">
      <c r="A818" s="2"/>
      <c r="B818" s="2"/>
      <c r="C818" s="2"/>
      <c r="D818" s="2"/>
      <c r="E818" s="2"/>
    </row>
    <row r="819" spans="1:5" ht="15.7" customHeight="1" x14ac:dyDescent="0.3">
      <c r="A819" s="2"/>
      <c r="B819" s="2"/>
      <c r="C819" s="2"/>
      <c r="D819" s="2"/>
      <c r="E819" s="2"/>
    </row>
    <row r="820" spans="1:5" ht="15.7" customHeight="1" x14ac:dyDescent="0.3">
      <c r="A820" s="2"/>
      <c r="B820" s="2"/>
      <c r="C820" s="2"/>
      <c r="D820" s="2"/>
      <c r="E820" s="2"/>
    </row>
    <row r="821" spans="1:5" ht="15.7" customHeight="1" x14ac:dyDescent="0.3">
      <c r="A821" s="2"/>
      <c r="B821" s="2"/>
      <c r="C821" s="2"/>
      <c r="D821" s="2"/>
      <c r="E821" s="2"/>
    </row>
    <row r="822" spans="1:5" ht="15.7" customHeight="1" x14ac:dyDescent="0.3">
      <c r="A822" s="2"/>
      <c r="B822" s="2"/>
      <c r="C822" s="2"/>
      <c r="D822" s="2"/>
      <c r="E822" s="2"/>
    </row>
    <row r="823" spans="1:5" ht="15.7" customHeight="1" x14ac:dyDescent="0.3">
      <c r="A823" s="2"/>
      <c r="B823" s="2"/>
      <c r="C823" s="2"/>
      <c r="D823" s="2"/>
      <c r="E823" s="2"/>
    </row>
    <row r="824" spans="1:5" ht="15.7" customHeight="1" x14ac:dyDescent="0.3">
      <c r="A824" s="2"/>
      <c r="B824" s="2"/>
      <c r="C824" s="2"/>
      <c r="D824" s="2"/>
      <c r="E824" s="2"/>
    </row>
    <row r="825" spans="1:5" ht="15.7" customHeight="1" x14ac:dyDescent="0.3">
      <c r="A825" s="2"/>
      <c r="B825" s="2"/>
      <c r="C825" s="2"/>
      <c r="D825" s="2"/>
      <c r="E825" s="2"/>
    </row>
    <row r="826" spans="1:5" ht="15.7" customHeight="1" x14ac:dyDescent="0.3">
      <c r="A826" s="2"/>
      <c r="B826" s="2"/>
      <c r="C826" s="2"/>
      <c r="D826" s="2"/>
      <c r="E826" s="2"/>
    </row>
    <row r="827" spans="1:5" ht="15.7" customHeight="1" x14ac:dyDescent="0.3">
      <c r="A827" s="2"/>
      <c r="B827" s="2"/>
      <c r="C827" s="2"/>
      <c r="D827" s="2"/>
      <c r="E827" s="2"/>
    </row>
    <row r="828" spans="1:5" ht="15.7" customHeight="1" x14ac:dyDescent="0.3">
      <c r="A828" s="2"/>
      <c r="B828" s="2"/>
      <c r="C828" s="2"/>
      <c r="D828" s="2"/>
      <c r="E828" s="2"/>
    </row>
    <row r="829" spans="1:5" ht="15.7" customHeight="1" x14ac:dyDescent="0.3">
      <c r="A829" s="2"/>
      <c r="B829" s="2"/>
      <c r="C829" s="2"/>
      <c r="D829" s="2"/>
      <c r="E829" s="2"/>
    </row>
    <row r="830" spans="1:5" ht="15.7" customHeight="1" x14ac:dyDescent="0.3">
      <c r="A830" s="2"/>
      <c r="B830" s="2"/>
      <c r="C830" s="2"/>
      <c r="D830" s="2"/>
      <c r="E830" s="2"/>
    </row>
    <row r="831" spans="1:5" ht="15.7" customHeight="1" x14ac:dyDescent="0.3">
      <c r="A831" s="2"/>
      <c r="B831" s="2"/>
      <c r="C831" s="2"/>
      <c r="D831" s="2"/>
      <c r="E831" s="2"/>
    </row>
    <row r="832" spans="1:5" ht="15.7" customHeight="1" x14ac:dyDescent="0.3">
      <c r="A832" s="2"/>
      <c r="B832" s="2"/>
      <c r="C832" s="2"/>
      <c r="D832" s="2"/>
      <c r="E832" s="2"/>
    </row>
    <row r="833" spans="1:5" ht="15.7" customHeight="1" x14ac:dyDescent="0.3">
      <c r="A833" s="2"/>
      <c r="B833" s="2"/>
      <c r="C833" s="2"/>
      <c r="D833" s="2"/>
      <c r="E833" s="2"/>
    </row>
    <row r="834" spans="1:5" ht="15.7" customHeight="1" x14ac:dyDescent="0.3">
      <c r="A834" s="2"/>
      <c r="B834" s="2"/>
      <c r="C834" s="2"/>
      <c r="D834" s="2"/>
      <c r="E834" s="2"/>
    </row>
    <row r="835" spans="1:5" ht="15.7" customHeight="1" x14ac:dyDescent="0.3">
      <c r="A835" s="2"/>
      <c r="B835" s="2"/>
      <c r="C835" s="2"/>
      <c r="D835" s="2"/>
      <c r="E835" s="2"/>
    </row>
    <row r="836" spans="1:5" ht="15.7" customHeight="1" x14ac:dyDescent="0.3">
      <c r="A836" s="2"/>
      <c r="B836" s="2"/>
      <c r="C836" s="2"/>
      <c r="D836" s="2"/>
      <c r="E836" s="2"/>
    </row>
    <row r="837" spans="1:5" ht="15.7" customHeight="1" x14ac:dyDescent="0.3">
      <c r="A837" s="2"/>
      <c r="B837" s="2"/>
      <c r="C837" s="2"/>
      <c r="D837" s="2"/>
      <c r="E837" s="2"/>
    </row>
    <row r="838" spans="1:5" ht="15.7" customHeight="1" x14ac:dyDescent="0.3">
      <c r="A838" s="2"/>
      <c r="B838" s="2"/>
      <c r="C838" s="2"/>
      <c r="D838" s="2"/>
      <c r="E838" s="2"/>
    </row>
    <row r="839" spans="1:5" ht="15.7" customHeight="1" x14ac:dyDescent="0.3">
      <c r="A839" s="2"/>
      <c r="B839" s="2"/>
      <c r="C839" s="2"/>
      <c r="D839" s="2"/>
      <c r="E839" s="2"/>
    </row>
    <row r="840" spans="1:5" ht="15.7" customHeight="1" x14ac:dyDescent="0.3">
      <c r="A840" s="2"/>
      <c r="B840" s="2"/>
      <c r="C840" s="2"/>
      <c r="D840" s="2"/>
      <c r="E840" s="2"/>
    </row>
    <row r="841" spans="1:5" ht="15.7" customHeight="1" x14ac:dyDescent="0.3">
      <c r="A841" s="2"/>
      <c r="B841" s="2"/>
      <c r="C841" s="2"/>
      <c r="D841" s="2"/>
      <c r="E841" s="2"/>
    </row>
    <row r="842" spans="1:5" ht="15.7" customHeight="1" x14ac:dyDescent="0.3">
      <c r="A842" s="2"/>
      <c r="B842" s="2"/>
      <c r="C842" s="2"/>
      <c r="D842" s="2"/>
      <c r="E842" s="2"/>
    </row>
    <row r="843" spans="1:5" ht="15.7" customHeight="1" x14ac:dyDescent="0.3">
      <c r="A843" s="2"/>
      <c r="B843" s="2"/>
      <c r="C843" s="2"/>
      <c r="D843" s="2"/>
      <c r="E843" s="2"/>
    </row>
    <row r="844" spans="1:5" ht="15.7" customHeight="1" x14ac:dyDescent="0.3">
      <c r="A844" s="2"/>
      <c r="B844" s="2"/>
      <c r="C844" s="2"/>
      <c r="D844" s="2"/>
      <c r="E844" s="2"/>
    </row>
    <row r="845" spans="1:5" ht="15.7" customHeight="1" x14ac:dyDescent="0.3">
      <c r="A845" s="2"/>
      <c r="B845" s="2"/>
      <c r="C845" s="2"/>
      <c r="D845" s="2"/>
      <c r="E845" s="2"/>
    </row>
    <row r="846" spans="1:5" ht="15.7" customHeight="1" x14ac:dyDescent="0.3">
      <c r="A846" s="2"/>
      <c r="B846" s="2"/>
      <c r="C846" s="2"/>
      <c r="D846" s="2"/>
      <c r="E846" s="2"/>
    </row>
    <row r="847" spans="1:5" ht="15.7" customHeight="1" x14ac:dyDescent="0.3">
      <c r="A847" s="2"/>
      <c r="B847" s="2"/>
      <c r="C847" s="2"/>
      <c r="D847" s="2"/>
      <c r="E847" s="2"/>
    </row>
    <row r="848" spans="1:5" ht="15.7" customHeight="1" x14ac:dyDescent="0.3">
      <c r="A848" s="2"/>
      <c r="B848" s="2"/>
      <c r="C848" s="2"/>
      <c r="D848" s="2"/>
      <c r="E848" s="2"/>
    </row>
    <row r="849" spans="1:5" ht="15.7" customHeight="1" x14ac:dyDescent="0.3">
      <c r="A849" s="2"/>
      <c r="B849" s="2"/>
      <c r="C849" s="2"/>
      <c r="D849" s="2"/>
      <c r="E849" s="2"/>
    </row>
    <row r="850" spans="1:5" ht="15.7" customHeight="1" x14ac:dyDescent="0.3">
      <c r="A850" s="2"/>
      <c r="B850" s="2"/>
      <c r="C850" s="2"/>
      <c r="D850" s="2"/>
      <c r="E850" s="2"/>
    </row>
    <row r="851" spans="1:5" ht="15.7" customHeight="1" x14ac:dyDescent="0.3">
      <c r="A851" s="2"/>
      <c r="B851" s="2"/>
      <c r="C851" s="2"/>
      <c r="D851" s="2"/>
      <c r="E851" s="2"/>
    </row>
    <row r="852" spans="1:5" ht="15.7" customHeight="1" x14ac:dyDescent="0.3">
      <c r="A852" s="2"/>
      <c r="B852" s="2"/>
      <c r="C852" s="2"/>
      <c r="D852" s="2"/>
      <c r="E852" s="2"/>
    </row>
    <row r="853" spans="1:5" ht="15.7" customHeight="1" x14ac:dyDescent="0.3">
      <c r="A853" s="2"/>
      <c r="B853" s="2"/>
      <c r="C853" s="2"/>
      <c r="D853" s="2"/>
      <c r="E853" s="2"/>
    </row>
    <row r="854" spans="1:5" ht="15.7" customHeight="1" x14ac:dyDescent="0.3">
      <c r="A854" s="2"/>
      <c r="B854" s="2"/>
      <c r="C854" s="2"/>
      <c r="D854" s="2"/>
      <c r="E854" s="2"/>
    </row>
    <row r="855" spans="1:5" ht="15.7" customHeight="1" x14ac:dyDescent="0.3">
      <c r="A855" s="2"/>
      <c r="B855" s="2"/>
      <c r="C855" s="2"/>
      <c r="D855" s="2"/>
      <c r="E855" s="2"/>
    </row>
    <row r="856" spans="1:5" ht="15.7" customHeight="1" x14ac:dyDescent="0.3">
      <c r="A856" s="2"/>
      <c r="B856" s="2"/>
      <c r="C856" s="2"/>
      <c r="D856" s="2"/>
      <c r="E856" s="2"/>
    </row>
    <row r="857" spans="1:5" ht="15.7" customHeight="1" x14ac:dyDescent="0.3">
      <c r="A857" s="2"/>
      <c r="B857" s="2"/>
      <c r="C857" s="2"/>
      <c r="D857" s="2"/>
      <c r="E857" s="2"/>
    </row>
    <row r="858" spans="1:5" ht="15.7" customHeight="1" x14ac:dyDescent="0.3">
      <c r="A858" s="2"/>
      <c r="B858" s="2"/>
      <c r="C858" s="2"/>
      <c r="D858" s="2"/>
      <c r="E858" s="2"/>
    </row>
    <row r="859" spans="1:5" ht="15.7" customHeight="1" x14ac:dyDescent="0.3">
      <c r="A859" s="2"/>
      <c r="B859" s="2"/>
      <c r="C859" s="2"/>
      <c r="D859" s="2"/>
      <c r="E859" s="2"/>
    </row>
    <row r="860" spans="1:5" ht="15.7" customHeight="1" x14ac:dyDescent="0.3">
      <c r="A860" s="2"/>
      <c r="B860" s="2"/>
      <c r="C860" s="2"/>
      <c r="D860" s="2"/>
      <c r="E860" s="2"/>
    </row>
    <row r="861" spans="1:5" ht="15.7" customHeight="1" x14ac:dyDescent="0.3">
      <c r="A861" s="2"/>
      <c r="B861" s="2"/>
      <c r="C861" s="2"/>
      <c r="D861" s="2"/>
      <c r="E861" s="2"/>
    </row>
    <row r="862" spans="1:5" ht="15.7" customHeight="1" x14ac:dyDescent="0.3">
      <c r="A862" s="2"/>
      <c r="B862" s="2"/>
      <c r="C862" s="2"/>
      <c r="D862" s="2"/>
      <c r="E862" s="2"/>
    </row>
    <row r="863" spans="1:5" ht="15.7" customHeight="1" x14ac:dyDescent="0.3">
      <c r="A863" s="2"/>
      <c r="B863" s="2"/>
      <c r="C863" s="2"/>
      <c r="D863" s="2"/>
      <c r="E863" s="2"/>
    </row>
    <row r="864" spans="1:5" ht="15.7" customHeight="1" x14ac:dyDescent="0.3">
      <c r="A864" s="2"/>
      <c r="B864" s="2"/>
      <c r="C864" s="2"/>
      <c r="D864" s="2"/>
      <c r="E864" s="2"/>
    </row>
    <row r="865" spans="1:5" ht="15.7" customHeight="1" x14ac:dyDescent="0.3">
      <c r="A865" s="2"/>
      <c r="B865" s="2"/>
      <c r="C865" s="2"/>
      <c r="D865" s="2"/>
      <c r="E865" s="2"/>
    </row>
    <row r="866" spans="1:5" ht="15.7" customHeight="1" x14ac:dyDescent="0.3">
      <c r="A866" s="2"/>
      <c r="B866" s="2"/>
      <c r="C866" s="2"/>
      <c r="D866" s="2"/>
      <c r="E866" s="2"/>
    </row>
    <row r="867" spans="1:5" ht="15.7" customHeight="1" x14ac:dyDescent="0.3">
      <c r="A867" s="2"/>
      <c r="B867" s="2"/>
      <c r="C867" s="2"/>
      <c r="D867" s="2"/>
      <c r="E867" s="2"/>
    </row>
    <row r="868" spans="1:5" ht="15.7" customHeight="1" x14ac:dyDescent="0.3">
      <c r="A868" s="2"/>
      <c r="B868" s="2"/>
      <c r="C868" s="2"/>
      <c r="D868" s="2"/>
      <c r="E868" s="2"/>
    </row>
    <row r="869" spans="1:5" ht="15.7" customHeight="1" x14ac:dyDescent="0.3">
      <c r="A869" s="2"/>
      <c r="B869" s="2"/>
      <c r="C869" s="2"/>
      <c r="D869" s="2"/>
      <c r="E869" s="2"/>
    </row>
    <row r="870" spans="1:5" ht="15.7" customHeight="1" x14ac:dyDescent="0.3">
      <c r="A870" s="2"/>
      <c r="B870" s="2"/>
      <c r="C870" s="2"/>
      <c r="D870" s="2"/>
      <c r="E870" s="2"/>
    </row>
    <row r="871" spans="1:5" ht="15.7" customHeight="1" x14ac:dyDescent="0.3">
      <c r="A871" s="2"/>
      <c r="B871" s="2"/>
      <c r="C871" s="2"/>
      <c r="D871" s="2"/>
      <c r="E871" s="2"/>
    </row>
    <row r="872" spans="1:5" ht="15.7" customHeight="1" x14ac:dyDescent="0.3">
      <c r="A872" s="2"/>
      <c r="B872" s="2"/>
      <c r="C872" s="2"/>
      <c r="D872" s="2"/>
      <c r="E872" s="2"/>
    </row>
    <row r="873" spans="1:5" ht="15.7" customHeight="1" x14ac:dyDescent="0.3">
      <c r="A873" s="2"/>
      <c r="B873" s="2"/>
      <c r="C873" s="2"/>
      <c r="D873" s="2"/>
      <c r="E873" s="2"/>
    </row>
    <row r="874" spans="1:5" ht="15.7" customHeight="1" x14ac:dyDescent="0.3">
      <c r="A874" s="2"/>
      <c r="B874" s="2"/>
      <c r="C874" s="2"/>
      <c r="D874" s="2"/>
      <c r="E874" s="2"/>
    </row>
    <row r="875" spans="1:5" ht="15.7" customHeight="1" x14ac:dyDescent="0.3">
      <c r="A875" s="2"/>
      <c r="B875" s="2"/>
      <c r="C875" s="2"/>
      <c r="D875" s="2"/>
      <c r="E875" s="2"/>
    </row>
    <row r="876" spans="1:5" ht="15.7" customHeight="1" x14ac:dyDescent="0.3">
      <c r="A876" s="2"/>
      <c r="B876" s="2"/>
      <c r="C876" s="2"/>
      <c r="D876" s="2"/>
      <c r="E876" s="2"/>
    </row>
    <row r="877" spans="1:5" ht="15.7" customHeight="1" x14ac:dyDescent="0.3">
      <c r="A877" s="2"/>
      <c r="B877" s="2"/>
      <c r="C877" s="2"/>
      <c r="D877" s="2"/>
      <c r="E877" s="2"/>
    </row>
    <row r="878" spans="1:5" ht="15.7" customHeight="1" x14ac:dyDescent="0.3">
      <c r="A878" s="2"/>
      <c r="B878" s="2"/>
      <c r="C878" s="2"/>
      <c r="D878" s="2"/>
      <c r="E878" s="2"/>
    </row>
    <row r="879" spans="1:5" ht="15.7" customHeight="1" x14ac:dyDescent="0.3">
      <c r="A879" s="2"/>
      <c r="B879" s="2"/>
      <c r="C879" s="2"/>
      <c r="D879" s="2"/>
      <c r="E879" s="2"/>
    </row>
    <row r="880" spans="1:5" ht="15.7" customHeight="1" x14ac:dyDescent="0.3">
      <c r="A880" s="2"/>
      <c r="B880" s="2"/>
      <c r="C880" s="2"/>
      <c r="D880" s="2"/>
      <c r="E880" s="2"/>
    </row>
    <row r="881" spans="1:5" ht="15.7" customHeight="1" x14ac:dyDescent="0.3">
      <c r="A881" s="2"/>
      <c r="B881" s="2"/>
      <c r="C881" s="2"/>
      <c r="D881" s="2"/>
      <c r="E881" s="2"/>
    </row>
    <row r="882" spans="1:5" ht="15.7" customHeight="1" x14ac:dyDescent="0.3">
      <c r="A882" s="2"/>
      <c r="B882" s="2"/>
      <c r="C882" s="2"/>
      <c r="D882" s="2"/>
      <c r="E882" s="2"/>
    </row>
    <row r="883" spans="1:5" ht="15.7" customHeight="1" x14ac:dyDescent="0.3">
      <c r="A883" s="2"/>
      <c r="B883" s="2"/>
      <c r="C883" s="2"/>
      <c r="D883" s="2"/>
      <c r="E883" s="2"/>
    </row>
    <row r="884" spans="1:5" ht="15.7" customHeight="1" x14ac:dyDescent="0.3">
      <c r="A884" s="2"/>
      <c r="B884" s="2"/>
      <c r="C884" s="2"/>
      <c r="D884" s="2"/>
      <c r="E884" s="2"/>
    </row>
    <row r="885" spans="1:5" ht="15.7" customHeight="1" x14ac:dyDescent="0.3">
      <c r="A885" s="2"/>
      <c r="B885" s="2"/>
      <c r="C885" s="2"/>
      <c r="D885" s="2"/>
      <c r="E885" s="2"/>
    </row>
    <row r="886" spans="1:5" ht="15.7" customHeight="1" x14ac:dyDescent="0.3">
      <c r="A886" s="2"/>
      <c r="B886" s="2"/>
      <c r="C886" s="2"/>
      <c r="D886" s="2"/>
      <c r="E886" s="2"/>
    </row>
    <row r="887" spans="1:5" ht="15.7" customHeight="1" x14ac:dyDescent="0.3">
      <c r="A887" s="2"/>
      <c r="B887" s="2"/>
      <c r="C887" s="2"/>
      <c r="D887" s="2"/>
      <c r="E887" s="2"/>
    </row>
    <row r="888" spans="1:5" ht="15.7" customHeight="1" x14ac:dyDescent="0.3">
      <c r="A888" s="2"/>
      <c r="B888" s="2"/>
      <c r="C888" s="2"/>
      <c r="D888" s="2"/>
      <c r="E888" s="2"/>
    </row>
    <row r="889" spans="1:5" ht="15.7" customHeight="1" x14ac:dyDescent="0.3">
      <c r="A889" s="2"/>
      <c r="B889" s="2"/>
      <c r="C889" s="2"/>
      <c r="D889" s="2"/>
      <c r="E889" s="2"/>
    </row>
    <row r="890" spans="1:5" ht="15.7" customHeight="1" x14ac:dyDescent="0.3">
      <c r="A890" s="2"/>
      <c r="B890" s="2"/>
      <c r="C890" s="2"/>
      <c r="D890" s="2"/>
      <c r="E890" s="2"/>
    </row>
    <row r="891" spans="1:5" ht="15.7" customHeight="1" x14ac:dyDescent="0.3">
      <c r="A891" s="2"/>
      <c r="B891" s="2"/>
      <c r="C891" s="2"/>
      <c r="D891" s="2"/>
      <c r="E891" s="2"/>
    </row>
    <row r="892" spans="1:5" ht="15.7" customHeight="1" x14ac:dyDescent="0.3">
      <c r="A892" s="2"/>
      <c r="B892" s="2"/>
      <c r="C892" s="2"/>
      <c r="D892" s="2"/>
      <c r="E892" s="2"/>
    </row>
    <row r="893" spans="1:5" ht="15.7" customHeight="1" x14ac:dyDescent="0.3">
      <c r="A893" s="2"/>
      <c r="B893" s="2"/>
      <c r="C893" s="2"/>
      <c r="D893" s="2"/>
      <c r="E893" s="2"/>
    </row>
    <row r="894" spans="1:5" ht="15.7" customHeight="1" x14ac:dyDescent="0.3">
      <c r="A894" s="2"/>
      <c r="B894" s="2"/>
      <c r="C894" s="2"/>
      <c r="D894" s="2"/>
      <c r="E894" s="2"/>
    </row>
    <row r="895" spans="1:5" ht="15.7" customHeight="1" x14ac:dyDescent="0.3">
      <c r="A895" s="2"/>
      <c r="B895" s="2"/>
      <c r="C895" s="2"/>
      <c r="D895" s="2"/>
      <c r="E895" s="2"/>
    </row>
    <row r="896" spans="1:5" ht="15.7" customHeight="1" x14ac:dyDescent="0.3">
      <c r="A896" s="2"/>
      <c r="B896" s="2"/>
      <c r="C896" s="2"/>
      <c r="D896" s="2"/>
      <c r="E896" s="2"/>
    </row>
    <row r="897" spans="1:5" ht="15.7" customHeight="1" x14ac:dyDescent="0.3">
      <c r="A897" s="2"/>
      <c r="B897" s="2"/>
      <c r="C897" s="2"/>
      <c r="D897" s="2"/>
      <c r="E897" s="2"/>
    </row>
    <row r="898" spans="1:5" ht="15.7" customHeight="1" x14ac:dyDescent="0.3">
      <c r="A898" s="2"/>
      <c r="B898" s="2"/>
      <c r="C898" s="2"/>
      <c r="D898" s="2"/>
      <c r="E898" s="2"/>
    </row>
    <row r="899" spans="1:5" ht="15.7" customHeight="1" x14ac:dyDescent="0.3">
      <c r="A899" s="2"/>
      <c r="B899" s="2"/>
      <c r="C899" s="2"/>
      <c r="D899" s="2"/>
      <c r="E899" s="2"/>
    </row>
    <row r="900" spans="1:5" ht="15.7" customHeight="1" x14ac:dyDescent="0.3">
      <c r="A900" s="2"/>
      <c r="B900" s="2"/>
      <c r="C900" s="2"/>
      <c r="D900" s="2"/>
      <c r="E900" s="2"/>
    </row>
    <row r="901" spans="1:5" ht="15.7" customHeight="1" x14ac:dyDescent="0.3">
      <c r="A901" s="2"/>
      <c r="B901" s="2"/>
      <c r="C901" s="2"/>
      <c r="D901" s="2"/>
      <c r="E901" s="2"/>
    </row>
    <row r="902" spans="1:5" ht="15.7" customHeight="1" x14ac:dyDescent="0.3">
      <c r="A902" s="2"/>
      <c r="B902" s="2"/>
      <c r="C902" s="2"/>
      <c r="D902" s="2"/>
      <c r="E902" s="2"/>
    </row>
    <row r="903" spans="1:5" ht="15.7" customHeight="1" x14ac:dyDescent="0.3">
      <c r="A903" s="2"/>
      <c r="B903" s="2"/>
      <c r="C903" s="2"/>
      <c r="D903" s="2"/>
      <c r="E903" s="2"/>
    </row>
    <row r="904" spans="1:5" ht="15.7" customHeight="1" x14ac:dyDescent="0.3">
      <c r="A904" s="2"/>
      <c r="B904" s="2"/>
      <c r="C904" s="2"/>
      <c r="D904" s="2"/>
      <c r="E904" s="2"/>
    </row>
    <row r="905" spans="1:5" ht="15.7" customHeight="1" x14ac:dyDescent="0.3">
      <c r="A905" s="2"/>
      <c r="B905" s="2"/>
      <c r="C905" s="2"/>
      <c r="D905" s="2"/>
      <c r="E905" s="2"/>
    </row>
    <row r="906" spans="1:5" ht="15.7" customHeight="1" x14ac:dyDescent="0.3">
      <c r="A906" s="2"/>
      <c r="B906" s="2"/>
      <c r="C906" s="2"/>
      <c r="D906" s="2"/>
      <c r="E906" s="2"/>
    </row>
    <row r="907" spans="1:5" ht="15.7" customHeight="1" x14ac:dyDescent="0.3">
      <c r="A907" s="2"/>
      <c r="B907" s="2"/>
      <c r="C907" s="2"/>
      <c r="D907" s="2"/>
      <c r="E907" s="2"/>
    </row>
    <row r="908" spans="1:5" ht="15.7" customHeight="1" x14ac:dyDescent="0.3">
      <c r="A908" s="2"/>
      <c r="B908" s="2"/>
      <c r="C908" s="2"/>
      <c r="D908" s="2"/>
      <c r="E908" s="2"/>
    </row>
    <row r="909" spans="1:5" ht="15.7" customHeight="1" x14ac:dyDescent="0.3">
      <c r="A909" s="2"/>
      <c r="B909" s="2"/>
      <c r="C909" s="2"/>
      <c r="D909" s="2"/>
      <c r="E909" s="2"/>
    </row>
    <row r="910" spans="1:5" ht="15.7" customHeight="1" x14ac:dyDescent="0.3">
      <c r="A910" s="2"/>
      <c r="B910" s="2"/>
      <c r="C910" s="2"/>
      <c r="D910" s="2"/>
      <c r="E910" s="2"/>
    </row>
    <row r="911" spans="1:5" ht="15.7" customHeight="1" x14ac:dyDescent="0.3">
      <c r="A911" s="2"/>
      <c r="B911" s="2"/>
      <c r="C911" s="2"/>
      <c r="D911" s="2"/>
      <c r="E911" s="2"/>
    </row>
    <row r="912" spans="1:5" ht="15.7" customHeight="1" x14ac:dyDescent="0.3">
      <c r="A912" s="2"/>
      <c r="B912" s="2"/>
      <c r="C912" s="2"/>
      <c r="D912" s="2"/>
      <c r="E912" s="2"/>
    </row>
    <row r="913" spans="1:5" ht="15.7" customHeight="1" x14ac:dyDescent="0.3">
      <c r="A913" s="2"/>
      <c r="B913" s="2"/>
      <c r="C913" s="2"/>
      <c r="D913" s="2"/>
      <c r="E913" s="2"/>
    </row>
    <row r="914" spans="1:5" ht="15.7" customHeight="1" x14ac:dyDescent="0.3">
      <c r="A914" s="2"/>
      <c r="B914" s="2"/>
      <c r="C914" s="2"/>
      <c r="D914" s="2"/>
      <c r="E914" s="2"/>
    </row>
    <row r="915" spans="1:5" ht="15.7" customHeight="1" x14ac:dyDescent="0.3">
      <c r="A915" s="2"/>
      <c r="B915" s="2"/>
      <c r="C915" s="2"/>
      <c r="D915" s="2"/>
      <c r="E915" s="2"/>
    </row>
    <row r="916" spans="1:5" ht="15.7" customHeight="1" x14ac:dyDescent="0.3">
      <c r="A916" s="2"/>
      <c r="B916" s="2"/>
      <c r="C916" s="2"/>
      <c r="D916" s="2"/>
      <c r="E916" s="2"/>
    </row>
    <row r="917" spans="1:5" ht="15.7" customHeight="1" x14ac:dyDescent="0.3">
      <c r="A917" s="2"/>
      <c r="B917" s="2"/>
      <c r="C917" s="2"/>
      <c r="D917" s="2"/>
      <c r="E917" s="2"/>
    </row>
    <row r="918" spans="1:5" ht="15.7" customHeight="1" x14ac:dyDescent="0.3">
      <c r="A918" s="2"/>
      <c r="B918" s="2"/>
      <c r="C918" s="2"/>
      <c r="D918" s="2"/>
      <c r="E918" s="2"/>
    </row>
    <row r="919" spans="1:5" ht="15.7" customHeight="1" x14ac:dyDescent="0.3">
      <c r="A919" s="2"/>
      <c r="B919" s="2"/>
      <c r="C919" s="2"/>
      <c r="D919" s="2"/>
      <c r="E919" s="2"/>
    </row>
    <row r="920" spans="1:5" ht="15.7" customHeight="1" x14ac:dyDescent="0.3">
      <c r="A920" s="2"/>
      <c r="B920" s="2"/>
      <c r="C920" s="2"/>
      <c r="D920" s="2"/>
      <c r="E920" s="2"/>
    </row>
    <row r="921" spans="1:5" ht="15.7" customHeight="1" x14ac:dyDescent="0.3">
      <c r="A921" s="2"/>
      <c r="B921" s="2"/>
      <c r="C921" s="2"/>
      <c r="D921" s="2"/>
      <c r="E921" s="2"/>
    </row>
    <row r="922" spans="1:5" ht="15.7" customHeight="1" x14ac:dyDescent="0.3">
      <c r="A922" s="2"/>
      <c r="B922" s="2"/>
      <c r="C922" s="2"/>
      <c r="D922" s="2"/>
      <c r="E922" s="2"/>
    </row>
    <row r="923" spans="1:5" ht="15.7" customHeight="1" x14ac:dyDescent="0.3">
      <c r="A923" s="2"/>
      <c r="B923" s="2"/>
      <c r="C923" s="2"/>
      <c r="D923" s="2"/>
      <c r="E923" s="2"/>
    </row>
    <row r="924" spans="1:5" ht="15.7" customHeight="1" x14ac:dyDescent="0.3">
      <c r="A924" s="2"/>
      <c r="B924" s="2"/>
      <c r="C924" s="2"/>
      <c r="D924" s="2"/>
      <c r="E924" s="2"/>
    </row>
    <row r="925" spans="1:5" ht="15.7" customHeight="1" x14ac:dyDescent="0.3">
      <c r="A925" s="2"/>
      <c r="B925" s="2"/>
      <c r="C925" s="2"/>
      <c r="D925" s="2"/>
      <c r="E925" s="2"/>
    </row>
    <row r="926" spans="1:5" ht="15.7" customHeight="1" x14ac:dyDescent="0.3">
      <c r="A926" s="2"/>
      <c r="B926" s="2"/>
      <c r="C926" s="2"/>
      <c r="D926" s="2"/>
      <c r="E926" s="2"/>
    </row>
    <row r="927" spans="1:5" ht="15.7" customHeight="1" x14ac:dyDescent="0.3">
      <c r="A927" s="2"/>
      <c r="B927" s="2"/>
      <c r="C927" s="2"/>
      <c r="D927" s="2"/>
      <c r="E927" s="2"/>
    </row>
    <row r="928" spans="1:5" ht="15.7" customHeight="1" x14ac:dyDescent="0.3">
      <c r="A928" s="2"/>
      <c r="B928" s="2"/>
      <c r="C928" s="2"/>
      <c r="D928" s="2"/>
      <c r="E928" s="2"/>
    </row>
    <row r="929" spans="1:5" ht="15.7" customHeight="1" x14ac:dyDescent="0.3">
      <c r="A929" s="2"/>
      <c r="B929" s="2"/>
      <c r="C929" s="2"/>
      <c r="D929" s="2"/>
      <c r="E929" s="2"/>
    </row>
    <row r="930" spans="1:5" ht="15.7" customHeight="1" x14ac:dyDescent="0.3">
      <c r="A930" s="2"/>
      <c r="B930" s="2"/>
      <c r="C930" s="2"/>
      <c r="D930" s="2"/>
      <c r="E930" s="2"/>
    </row>
    <row r="931" spans="1:5" ht="15.7" customHeight="1" x14ac:dyDescent="0.3">
      <c r="A931" s="2"/>
      <c r="B931" s="2"/>
      <c r="C931" s="2"/>
      <c r="D931" s="2"/>
      <c r="E931" s="2"/>
    </row>
    <row r="932" spans="1:5" ht="15.7" customHeight="1" x14ac:dyDescent="0.3">
      <c r="A932" s="2"/>
      <c r="B932" s="2"/>
      <c r="C932" s="2"/>
      <c r="D932" s="2"/>
      <c r="E932" s="2"/>
    </row>
    <row r="933" spans="1:5" ht="15.7" customHeight="1" x14ac:dyDescent="0.3">
      <c r="A933" s="2"/>
      <c r="B933" s="2"/>
      <c r="C933" s="2"/>
      <c r="D933" s="2"/>
      <c r="E933" s="2"/>
    </row>
    <row r="934" spans="1:5" ht="15.7" customHeight="1" x14ac:dyDescent="0.3">
      <c r="A934" s="2"/>
      <c r="B934" s="2"/>
      <c r="C934" s="2"/>
      <c r="D934" s="2"/>
      <c r="E934" s="2"/>
    </row>
    <row r="935" spans="1:5" ht="15.7" customHeight="1" x14ac:dyDescent="0.3">
      <c r="A935" s="2"/>
      <c r="B935" s="2"/>
      <c r="C935" s="2"/>
      <c r="D935" s="2"/>
      <c r="E935" s="2"/>
    </row>
    <row r="936" spans="1:5" ht="15.7" customHeight="1" x14ac:dyDescent="0.3">
      <c r="A936" s="2"/>
      <c r="B936" s="2"/>
      <c r="C936" s="2"/>
      <c r="D936" s="2"/>
      <c r="E936" s="2"/>
    </row>
    <row r="937" spans="1:5" ht="15.7" customHeight="1" x14ac:dyDescent="0.3">
      <c r="A937" s="2"/>
      <c r="B937" s="2"/>
      <c r="C937" s="2"/>
      <c r="D937" s="2"/>
      <c r="E937" s="2"/>
    </row>
    <row r="938" spans="1:5" ht="15.7" customHeight="1" x14ac:dyDescent="0.3">
      <c r="A938" s="2"/>
      <c r="B938" s="2"/>
      <c r="C938" s="2"/>
      <c r="D938" s="2"/>
      <c r="E938" s="2"/>
    </row>
    <row r="939" spans="1:5" ht="15.7" customHeight="1" x14ac:dyDescent="0.3">
      <c r="A939" s="2"/>
      <c r="B939" s="2"/>
      <c r="C939" s="2"/>
      <c r="D939" s="2"/>
      <c r="E939" s="2"/>
    </row>
    <row r="940" spans="1:5" ht="15.7" customHeight="1" x14ac:dyDescent="0.3">
      <c r="A940" s="2"/>
      <c r="B940" s="2"/>
      <c r="C940" s="2"/>
      <c r="D940" s="2"/>
      <c r="E940" s="2"/>
    </row>
    <row r="941" spans="1:5" ht="15.7" customHeight="1" x14ac:dyDescent="0.3">
      <c r="A941" s="2"/>
      <c r="B941" s="2"/>
      <c r="C941" s="2"/>
      <c r="D941" s="2"/>
      <c r="E941" s="2"/>
    </row>
    <row r="942" spans="1:5" ht="15.7" customHeight="1" x14ac:dyDescent="0.3">
      <c r="A942" s="2"/>
      <c r="B942" s="2"/>
      <c r="C942" s="2"/>
      <c r="D942" s="2"/>
      <c r="E942" s="2"/>
    </row>
    <row r="943" spans="1:5" ht="15.7" customHeight="1" x14ac:dyDescent="0.3">
      <c r="A943" s="2"/>
      <c r="B943" s="2"/>
      <c r="C943" s="2"/>
      <c r="D943" s="2"/>
      <c r="E943" s="2"/>
    </row>
    <row r="944" spans="1:5" ht="15.7" customHeight="1" x14ac:dyDescent="0.3">
      <c r="A944" s="2"/>
      <c r="B944" s="2"/>
      <c r="C944" s="2"/>
      <c r="D944" s="2"/>
      <c r="E944" s="2"/>
    </row>
    <row r="945" spans="1:5" ht="15.7" customHeight="1" x14ac:dyDescent="0.3">
      <c r="A945" s="2"/>
      <c r="B945" s="2"/>
      <c r="C945" s="2"/>
      <c r="D945" s="2"/>
      <c r="E945" s="2"/>
    </row>
    <row r="946" spans="1:5" ht="15.7" customHeight="1" x14ac:dyDescent="0.3">
      <c r="A946" s="2"/>
      <c r="B946" s="2"/>
      <c r="C946" s="2"/>
      <c r="D946" s="2"/>
      <c r="E946" s="2"/>
    </row>
    <row r="947" spans="1:5" ht="15.7" customHeight="1" x14ac:dyDescent="0.3">
      <c r="A947" s="2"/>
      <c r="B947" s="2"/>
      <c r="C947" s="2"/>
      <c r="D947" s="2"/>
      <c r="E947" s="2"/>
    </row>
    <row r="948" spans="1:5" ht="15.7" customHeight="1" x14ac:dyDescent="0.3">
      <c r="A948" s="2"/>
      <c r="B948" s="2"/>
      <c r="C948" s="2"/>
      <c r="D948" s="2"/>
      <c r="E948" s="2"/>
    </row>
    <row r="949" spans="1:5" ht="15.7" customHeight="1" x14ac:dyDescent="0.3">
      <c r="A949" s="2"/>
      <c r="B949" s="2"/>
      <c r="C949" s="2"/>
      <c r="D949" s="2"/>
      <c r="E949" s="2"/>
    </row>
    <row r="950" spans="1:5" ht="15.7" customHeight="1" x14ac:dyDescent="0.3">
      <c r="A950" s="2"/>
      <c r="B950" s="2"/>
      <c r="C950" s="2"/>
      <c r="D950" s="2"/>
      <c r="E950" s="2"/>
    </row>
    <row r="951" spans="1:5" ht="15.7" customHeight="1" x14ac:dyDescent="0.3">
      <c r="A951" s="2"/>
      <c r="B951" s="2"/>
      <c r="C951" s="2"/>
      <c r="D951" s="2"/>
      <c r="E951" s="2"/>
    </row>
    <row r="952" spans="1:5" ht="15.7" customHeight="1" x14ac:dyDescent="0.3">
      <c r="A952" s="2"/>
      <c r="B952" s="2"/>
      <c r="C952" s="2"/>
      <c r="D952" s="2"/>
      <c r="E952" s="2"/>
    </row>
    <row r="953" spans="1:5" ht="15.7" customHeight="1" x14ac:dyDescent="0.3">
      <c r="A953" s="2"/>
      <c r="B953" s="2"/>
      <c r="C953" s="2"/>
      <c r="D953" s="2"/>
      <c r="E953" s="2"/>
    </row>
    <row r="954" spans="1:5" ht="15.7" customHeight="1" x14ac:dyDescent="0.3">
      <c r="A954" s="2"/>
      <c r="B954" s="2"/>
      <c r="C954" s="2"/>
      <c r="D954" s="2"/>
      <c r="E954" s="2"/>
    </row>
    <row r="955" spans="1:5" ht="15.7" customHeight="1" x14ac:dyDescent="0.3">
      <c r="A955" s="2"/>
      <c r="B955" s="2"/>
      <c r="C955" s="2"/>
      <c r="D955" s="2"/>
      <c r="E955" s="2"/>
    </row>
    <row r="956" spans="1:5" ht="15.7" customHeight="1" x14ac:dyDescent="0.3">
      <c r="A956" s="2"/>
      <c r="B956" s="2"/>
      <c r="C956" s="2"/>
      <c r="D956" s="2"/>
      <c r="E956" s="2"/>
    </row>
    <row r="957" spans="1:5" ht="15.7" customHeight="1" x14ac:dyDescent="0.3">
      <c r="A957" s="2"/>
      <c r="B957" s="2"/>
      <c r="C957" s="2"/>
      <c r="D957" s="2"/>
      <c r="E957" s="2"/>
    </row>
    <row r="958" spans="1:5" ht="15.7" customHeight="1" x14ac:dyDescent="0.3">
      <c r="A958" s="2"/>
      <c r="B958" s="2"/>
      <c r="C958" s="2"/>
      <c r="D958" s="2"/>
      <c r="E958" s="2"/>
    </row>
    <row r="959" spans="1:5" ht="15.7" customHeight="1" x14ac:dyDescent="0.3">
      <c r="A959" s="2"/>
      <c r="B959" s="2"/>
      <c r="C959" s="2"/>
      <c r="D959" s="2"/>
      <c r="E959" s="2"/>
    </row>
    <row r="960" spans="1:5" ht="15.7" customHeight="1" x14ac:dyDescent="0.3">
      <c r="A960" s="2"/>
      <c r="B960" s="2"/>
      <c r="C960" s="2"/>
      <c r="D960" s="2"/>
      <c r="E960" s="2"/>
    </row>
    <row r="961" spans="1:5" ht="15.7" customHeight="1" x14ac:dyDescent="0.3">
      <c r="A961" s="2"/>
      <c r="B961" s="2"/>
      <c r="C961" s="2"/>
      <c r="D961" s="2"/>
      <c r="E961" s="2"/>
    </row>
    <row r="962" spans="1:5" ht="15.7" customHeight="1" x14ac:dyDescent="0.3">
      <c r="A962" s="2"/>
      <c r="B962" s="2"/>
      <c r="C962" s="2"/>
      <c r="D962" s="2"/>
      <c r="E962" s="2"/>
    </row>
    <row r="963" spans="1:5" ht="15.7" customHeight="1" x14ac:dyDescent="0.3">
      <c r="A963" s="2"/>
      <c r="B963" s="2"/>
      <c r="C963" s="2"/>
      <c r="D963" s="2"/>
      <c r="E963" s="2"/>
    </row>
    <row r="964" spans="1:5" ht="15.7" customHeight="1" x14ac:dyDescent="0.3">
      <c r="A964" s="2"/>
      <c r="B964" s="2"/>
      <c r="C964" s="2"/>
      <c r="D964" s="2"/>
      <c r="E964" s="2"/>
    </row>
    <row r="965" spans="1:5" ht="15.7" customHeight="1" x14ac:dyDescent="0.3">
      <c r="A965" s="2"/>
      <c r="B965" s="2"/>
      <c r="C965" s="2"/>
      <c r="D965" s="2"/>
      <c r="E965" s="2"/>
    </row>
    <row r="966" spans="1:5" ht="15.7" customHeight="1" x14ac:dyDescent="0.3">
      <c r="A966" s="2"/>
      <c r="B966" s="2"/>
      <c r="C966" s="2"/>
      <c r="D966" s="2"/>
      <c r="E966" s="2"/>
    </row>
    <row r="967" spans="1:5" ht="15.7" customHeight="1" x14ac:dyDescent="0.3">
      <c r="A967" s="2"/>
      <c r="B967" s="2"/>
      <c r="C967" s="2"/>
      <c r="D967" s="2"/>
      <c r="E967" s="2"/>
    </row>
    <row r="968" spans="1:5" ht="15.7" customHeight="1" x14ac:dyDescent="0.3">
      <c r="A968" s="2"/>
      <c r="B968" s="2"/>
      <c r="C968" s="2"/>
      <c r="D968" s="2"/>
      <c r="E968" s="2"/>
    </row>
    <row r="969" spans="1:5" ht="15.7" customHeight="1" x14ac:dyDescent="0.3">
      <c r="A969" s="2"/>
      <c r="B969" s="2"/>
      <c r="C969" s="2"/>
      <c r="D969" s="2"/>
      <c r="E969" s="2"/>
    </row>
    <row r="970" spans="1:5" ht="15.7" customHeight="1" x14ac:dyDescent="0.3">
      <c r="A970" s="2"/>
      <c r="B970" s="2"/>
      <c r="C970" s="2"/>
      <c r="D970" s="2"/>
      <c r="E970" s="2"/>
    </row>
    <row r="971" spans="1:5" ht="15.7" customHeight="1" x14ac:dyDescent="0.3">
      <c r="A971" s="2"/>
      <c r="B971" s="2"/>
      <c r="C971" s="2"/>
      <c r="D971" s="2"/>
      <c r="E971" s="2"/>
    </row>
    <row r="972" spans="1:5" ht="15.7" customHeight="1" x14ac:dyDescent="0.3">
      <c r="A972" s="2"/>
      <c r="B972" s="2"/>
      <c r="C972" s="2"/>
      <c r="D972" s="2"/>
      <c r="E972" s="2"/>
    </row>
    <row r="973" spans="1:5" ht="15.7" customHeight="1" x14ac:dyDescent="0.3">
      <c r="A973" s="2"/>
      <c r="B973" s="2"/>
      <c r="C973" s="2"/>
      <c r="D973" s="2"/>
      <c r="E973" s="2"/>
    </row>
    <row r="974" spans="1:5" ht="15.7" customHeight="1" x14ac:dyDescent="0.3">
      <c r="A974" s="2"/>
      <c r="B974" s="2"/>
      <c r="C974" s="2"/>
      <c r="D974" s="2"/>
      <c r="E974" s="2"/>
    </row>
    <row r="975" spans="1:5" ht="15.7" customHeight="1" x14ac:dyDescent="0.3">
      <c r="A975" s="2"/>
      <c r="B975" s="2"/>
      <c r="C975" s="2"/>
      <c r="D975" s="2"/>
      <c r="E975" s="2"/>
    </row>
    <row r="976" spans="1:5" ht="15.7" customHeight="1" x14ac:dyDescent="0.3">
      <c r="A976" s="2"/>
      <c r="B976" s="2"/>
      <c r="C976" s="2"/>
      <c r="D976" s="2"/>
      <c r="E976" s="2"/>
    </row>
    <row r="977" spans="1:5" ht="15.7" customHeight="1" x14ac:dyDescent="0.3">
      <c r="A977" s="2"/>
      <c r="B977" s="2"/>
      <c r="C977" s="2"/>
      <c r="D977" s="2"/>
      <c r="E977" s="2"/>
    </row>
    <row r="978" spans="1:5" ht="15.7" customHeight="1" x14ac:dyDescent="0.3">
      <c r="A978" s="2"/>
      <c r="B978" s="2"/>
      <c r="C978" s="2"/>
      <c r="D978" s="2"/>
      <c r="E978" s="2"/>
    </row>
    <row r="979" spans="1:5" ht="15.7" customHeight="1" x14ac:dyDescent="0.3">
      <c r="A979" s="2"/>
      <c r="B979" s="2"/>
      <c r="C979" s="2"/>
      <c r="D979" s="2"/>
      <c r="E979" s="2"/>
    </row>
    <row r="980" spans="1:5" ht="15.7" customHeight="1" x14ac:dyDescent="0.3">
      <c r="A980" s="2"/>
      <c r="B980" s="2"/>
      <c r="C980" s="2"/>
      <c r="D980" s="2"/>
      <c r="E980" s="2"/>
    </row>
    <row r="981" spans="1:5" ht="15.7" customHeight="1" x14ac:dyDescent="0.3">
      <c r="A981" s="2"/>
      <c r="B981" s="2"/>
      <c r="C981" s="2"/>
      <c r="D981" s="2"/>
      <c r="E981" s="2"/>
    </row>
    <row r="982" spans="1:5" ht="15.7" customHeight="1" x14ac:dyDescent="0.3">
      <c r="A982" s="2"/>
      <c r="B982" s="2"/>
      <c r="C982" s="2"/>
      <c r="D982" s="2"/>
      <c r="E982" s="2"/>
    </row>
    <row r="983" spans="1:5" ht="15.7" customHeight="1" x14ac:dyDescent="0.3">
      <c r="A983" s="2"/>
      <c r="B983" s="2"/>
      <c r="C983" s="2"/>
      <c r="D983" s="2"/>
      <c r="E983" s="2"/>
    </row>
    <row r="984" spans="1:5" ht="15.7" customHeight="1" x14ac:dyDescent="0.3">
      <c r="A984" s="2"/>
      <c r="B984" s="2"/>
      <c r="C984" s="2"/>
      <c r="D984" s="2"/>
      <c r="E984" s="2"/>
    </row>
    <row r="985" spans="1:5" ht="15.7" customHeight="1" x14ac:dyDescent="0.3">
      <c r="A985" s="2"/>
      <c r="B985" s="2"/>
      <c r="C985" s="2"/>
      <c r="D985" s="2"/>
      <c r="E985" s="2"/>
    </row>
    <row r="986" spans="1:5" ht="15.7" customHeight="1" x14ac:dyDescent="0.3">
      <c r="A986" s="2"/>
      <c r="B986" s="2"/>
      <c r="C986" s="2"/>
      <c r="D986" s="2"/>
      <c r="E986" s="2"/>
    </row>
    <row r="987" spans="1:5" ht="15.7" customHeight="1" x14ac:dyDescent="0.3">
      <c r="A987" s="2"/>
      <c r="B987" s="2"/>
      <c r="C987" s="2"/>
      <c r="D987" s="2"/>
      <c r="E987" s="2"/>
    </row>
    <row r="988" spans="1:5" ht="15.7" customHeight="1" x14ac:dyDescent="0.3">
      <c r="A988" s="2"/>
      <c r="B988" s="2"/>
      <c r="C988" s="2"/>
      <c r="D988" s="2"/>
      <c r="E988" s="2"/>
    </row>
    <row r="989" spans="1:5" ht="15.7" customHeight="1" x14ac:dyDescent="0.3">
      <c r="A989" s="2"/>
      <c r="B989" s="2"/>
      <c r="C989" s="2"/>
      <c r="D989" s="2"/>
      <c r="E989" s="2"/>
    </row>
    <row r="990" spans="1:5" ht="15.7" customHeight="1" x14ac:dyDescent="0.3">
      <c r="A990" s="2"/>
      <c r="B990" s="2"/>
      <c r="C990" s="2"/>
      <c r="D990" s="2"/>
      <c r="E990" s="2"/>
    </row>
    <row r="991" spans="1:5" ht="15.7" customHeight="1" x14ac:dyDescent="0.3">
      <c r="A991" s="2"/>
      <c r="B991" s="2"/>
      <c r="C991" s="2"/>
      <c r="D991" s="2"/>
      <c r="E991" s="2"/>
    </row>
    <row r="992" spans="1:5" ht="15.7" customHeight="1" x14ac:dyDescent="0.3">
      <c r="A992" s="2"/>
      <c r="B992" s="2"/>
      <c r="C992" s="2"/>
      <c r="D992" s="2"/>
      <c r="E992" s="2"/>
    </row>
    <row r="993" spans="1:5" ht="15.7" customHeight="1" x14ac:dyDescent="0.3">
      <c r="A993" s="2"/>
      <c r="B993" s="2"/>
      <c r="C993" s="2"/>
      <c r="D993" s="2"/>
      <c r="E993" s="2"/>
    </row>
    <row r="994" spans="1:5" ht="15.7" customHeight="1" x14ac:dyDescent="0.3">
      <c r="A994" s="2"/>
      <c r="B994" s="2"/>
      <c r="C994" s="2"/>
      <c r="D994" s="2"/>
      <c r="E994" s="2"/>
    </row>
    <row r="995" spans="1:5" ht="15.7" customHeight="1" x14ac:dyDescent="0.3">
      <c r="A995" s="2"/>
      <c r="B995" s="2"/>
      <c r="C995" s="2"/>
      <c r="D995" s="2"/>
      <c r="E995" s="2"/>
    </row>
    <row r="996" spans="1:5" ht="15.7" customHeight="1" x14ac:dyDescent="0.3">
      <c r="A996" s="2"/>
      <c r="B996" s="2"/>
      <c r="C996" s="2"/>
      <c r="D996" s="2"/>
      <c r="E996" s="2"/>
    </row>
    <row r="997" spans="1:5" ht="15.7" customHeight="1" x14ac:dyDescent="0.3">
      <c r="A997" s="2"/>
      <c r="B997" s="2"/>
      <c r="C997" s="2"/>
      <c r="D997" s="2"/>
      <c r="E997" s="2"/>
    </row>
    <row r="998" spans="1:5" ht="15.7" customHeight="1" x14ac:dyDescent="0.3">
      <c r="A998" s="2"/>
      <c r="B998" s="2"/>
      <c r="C998" s="2"/>
      <c r="D998" s="2"/>
      <c r="E998" s="2"/>
    </row>
    <row r="999" spans="1:5" ht="15.7" customHeight="1" x14ac:dyDescent="0.3">
      <c r="A999" s="2"/>
      <c r="B999" s="2"/>
      <c r="C999" s="2"/>
      <c r="D999" s="2"/>
      <c r="E999" s="2"/>
    </row>
    <row r="1000" spans="1:5" ht="15.7" customHeight="1" x14ac:dyDescent="0.3">
      <c r="A1000" s="2"/>
      <c r="B1000" s="2"/>
      <c r="C1000" s="2"/>
      <c r="D1000" s="2"/>
      <c r="E1000" s="2"/>
    </row>
  </sheetData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Source_Grades</vt:lpstr>
      <vt:lpstr>Project_Scores</vt:lpstr>
      <vt:lpstr>Project_Teams</vt:lpstr>
      <vt:lpstr>Team_Summary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‪Youssef Al-Sayed‬‏</cp:lastModifiedBy>
  <dcterms:modified xsi:type="dcterms:W3CDTF">2026-08-17T16:42:57Z</dcterms:modified>
</cp:coreProperties>
</file>